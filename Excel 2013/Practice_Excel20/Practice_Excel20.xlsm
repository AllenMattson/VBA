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/>
  <bookViews>
    <workbookView xWindow="96" yWindow="216" windowWidth="10296" windowHeight="5280" tabRatio="455"/>
  </bookViews>
  <sheets>
    <sheet name="Sheet1" sheetId="1" r:id="rId1"/>
    <sheet name="Sheet2" sheetId="2" r:id="rId2"/>
    <sheet name="Sheet3" sheetId="3" r:id="rId3"/>
    <sheet name="Sheet4" sheetId="15" r:id="rId4"/>
    <sheet name="Sheet5" sheetId="8" r:id="rId5"/>
    <sheet name="Sheet6" sheetId="9" r:id="rId6"/>
    <sheet name="Sheet7" sheetId="10" r:id="rId7"/>
    <sheet name="Sheet8" sheetId="13" r:id="rId8"/>
    <sheet name="Sheet8 (2)" sheetId="14" r:id="rId9"/>
  </sheets>
  <definedNames>
    <definedName name="_xlnm._FilterDatabase" localSheetId="2" hidden="1">Sheet3!$C$1:$C$17</definedName>
  </definedNames>
  <calcPr calcId="152511"/>
</workbook>
</file>

<file path=xl/calcChain.xml><?xml version="1.0" encoding="utf-8"?>
<calcChain xmlns="http://schemas.openxmlformats.org/spreadsheetml/2006/main">
  <c r="G4" i="2" l="1"/>
  <c r="G3" i="2" l="1"/>
  <c r="G5" i="2"/>
  <c r="G6" i="2"/>
  <c r="G2" i="2"/>
  <c r="E7" i="14" l="1"/>
  <c r="D7" i="14"/>
  <c r="C7" i="14"/>
  <c r="B7" i="14"/>
  <c r="F6" i="14"/>
  <c r="F5" i="14"/>
  <c r="F4" i="14"/>
  <c r="F3" i="14"/>
  <c r="F2" i="14"/>
  <c r="F3" i="13"/>
  <c r="F4" i="13"/>
  <c r="F5" i="13"/>
  <c r="F6" i="13"/>
  <c r="F2" i="13"/>
  <c r="C7" i="13"/>
  <c r="D7" i="13"/>
  <c r="E7" i="13"/>
  <c r="B7" i="13"/>
  <c r="F7" i="13" s="1"/>
  <c r="F7" i="14" l="1"/>
  <c r="E7" i="2"/>
  <c r="D7" i="2"/>
  <c r="C7" i="2"/>
  <c r="B7" i="2"/>
  <c r="F6" i="2"/>
  <c r="F5" i="2"/>
  <c r="F4" i="2"/>
  <c r="F3" i="2"/>
  <c r="F2" i="2"/>
  <c r="F7" i="2" l="1"/>
</calcChain>
</file>

<file path=xl/sharedStrings.xml><?xml version="1.0" encoding="utf-8"?>
<sst xmlns="http://schemas.openxmlformats.org/spreadsheetml/2006/main" count="86" uniqueCount="45">
  <si>
    <t>Room No</t>
  </si>
  <si>
    <t>Floor No</t>
  </si>
  <si>
    <t>Inspection Date</t>
  </si>
  <si>
    <t>UserID</t>
  </si>
  <si>
    <t>Qtr1</t>
  </si>
  <si>
    <t>Qtr2</t>
  </si>
  <si>
    <t>Qtr3</t>
  </si>
  <si>
    <t>Qtr4</t>
  </si>
  <si>
    <t>JK0101</t>
  </si>
  <si>
    <t>BK0001</t>
  </si>
  <si>
    <t>VG7891</t>
  </si>
  <si>
    <t>MN0907</t>
  </si>
  <si>
    <t>XT34531</t>
  </si>
  <si>
    <t>Date</t>
  </si>
  <si>
    <t>Product Category</t>
  </si>
  <si>
    <t>Category1</t>
  </si>
  <si>
    <t>Category4</t>
  </si>
  <si>
    <t>Category2</t>
  </si>
  <si>
    <t>Category3</t>
  </si>
  <si>
    <t>Invoice Amount</t>
  </si>
  <si>
    <t>ThemeColorIndex</t>
  </si>
  <si>
    <t>Neutral</t>
  </si>
  <si>
    <t>Lighter 80%</t>
  </si>
  <si>
    <t>Lighter 60%</t>
  </si>
  <si>
    <t>Lighter 40%</t>
  </si>
  <si>
    <t>Darker 25%</t>
  </si>
  <si>
    <t>Darker 50%</t>
  </si>
  <si>
    <t>Apples</t>
  </si>
  <si>
    <t>Oranges</t>
  </si>
  <si>
    <t>Pears</t>
  </si>
  <si>
    <t>Fruits</t>
  </si>
  <si>
    <t>Vegetables</t>
  </si>
  <si>
    <t>Onions</t>
  </si>
  <si>
    <t>Carots</t>
  </si>
  <si>
    <t>Potatoes</t>
  </si>
  <si>
    <t>Tomatoes</t>
  </si>
  <si>
    <t>Corn</t>
  </si>
  <si>
    <t>Beans</t>
  </si>
  <si>
    <t>Beets</t>
  </si>
  <si>
    <t>Vegetabes</t>
  </si>
  <si>
    <t>Peaches</t>
  </si>
  <si>
    <t>Invoice Amount:</t>
  </si>
  <si>
    <t>FY2009</t>
  </si>
  <si>
    <t>XT34521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</si>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</sst>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2" formatCode="_(&quot;$&quot;* #,##0_);_(&quot;$&quot;* \(#,##0\);_(&quot;$&quot;* &quot;-&quot;_);_(@_)"/>
    <numFmt numFmtId="164" formatCode="&quot;$&quot;#,##0.00"/>
    <numFmt numFmtId="165" formatCode="m/dd/yyyy\ h:mm:ss\ AM/PM"/>
  </numFmts>
  <fonts count="5" x14ac:knownFonts="1">
    <font>
      <sz val="11"/>
      <color theme="1"/>
      <name val="Corbel"/>
      <family val="2"/>
      <scheme val="minor"/>
    </font>
    <font>
      <b/>
      <sz val="11"/>
      <color theme="1"/>
      <name val="Corbel"/>
      <family val="2"/>
      <scheme val="minor"/>
    </font>
    <font>
      <sz val="11"/>
      <color theme="1"/>
      <name val="Corbel"/>
      <family val="2"/>
      <scheme val="minor"/>
    </font>
    <font>
      <u val="double"/>
      <sz val="11"/>
      <color theme="1"/>
      <name val="Bernard MT Condensed"/>
      <family val="1"/>
    </font>
    <font>
      <sz val="11"/>
      <color theme="1"/>
      <name val="Calibri"/>
      <family val="2"/>
    </font>
  </fonts>
  <fills count="5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5A6378"/>
        <bgColor indexed="64"/>
      </patternFill>
    </fill>
    <fill>
      <patternFill patternType="solid">
        <fgColor rgb="FFD4D4D6"/>
        <bgColor indexed="64"/>
      </patternFill>
    </fill>
    <fill>
      <patternFill patternType="solid">
        <fgColor rgb="FFF0AD00"/>
        <bgColor indexed="64"/>
      </patternFill>
    </fill>
    <fill>
      <patternFill patternType="solid">
        <fgColor rgb="FF60B5CC"/>
        <bgColor indexed="64"/>
      </patternFill>
    </fill>
    <fill>
      <patternFill patternType="solid">
        <fgColor rgb="FFE66C7D"/>
        <bgColor indexed="64"/>
      </patternFill>
    </fill>
    <fill>
      <patternFill patternType="solid">
        <fgColor rgb="FF6BB76D"/>
        <bgColor indexed="64"/>
      </patternFill>
    </fill>
    <fill>
      <patternFill patternType="solid">
        <fgColor rgb="FFE88651"/>
        <bgColor indexed="64"/>
      </patternFill>
    </fill>
    <fill>
      <patternFill patternType="solid">
        <fgColor rgb="FFC64847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2" fontId="2" fillId="48" borderId="0"/>
    <xf numFmtId="0" fontId="3" fillId="49" borderId="0"/>
  </cellStyleXfs>
  <cellXfs count="6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Fill="1"/>
    <xf numFmtId="47" fontId="0" fillId="0" borderId="0" xfId="0" applyNumberFormat="1" applyFill="1"/>
    <xf numFmtId="0" fontId="0" fillId="3" borderId="0" xfId="0" applyFill="1"/>
    <xf numFmtId="0" fontId="0" fillId="2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1" borderId="0" xfId="0" applyFill="1"/>
    <xf numFmtId="0" fontId="0" fillId="12" borderId="0" xfId="0" applyFill="1"/>
    <xf numFmtId="0" fontId="0" fillId="10" borderId="0" xfId="0" applyFill="1"/>
    <xf numFmtId="0" fontId="0" fillId="18" borderId="0" xfId="0" applyFill="1"/>
    <xf numFmtId="0" fontId="0" fillId="30" borderId="0" xfId="0" applyFill="1"/>
    <xf numFmtId="0" fontId="0" fillId="31" borderId="0" xfId="0" applyFill="1"/>
    <xf numFmtId="0" fontId="0" fillId="39" borderId="0" xfId="0" applyFill="1"/>
    <xf numFmtId="0" fontId="0" fillId="43" borderId="0" xfId="0" applyFill="1"/>
    <xf numFmtId="0" fontId="0" fillId="14" borderId="0" xfId="0" applyFill="1"/>
    <xf numFmtId="0" fontId="0" fillId="28" borderId="0" xfId="0" applyFill="1"/>
    <xf numFmtId="0" fontId="0" fillId="26" borderId="0" xfId="0" applyFill="1"/>
    <xf numFmtId="0" fontId="0" fillId="29" borderId="0" xfId="0" applyFill="1"/>
    <xf numFmtId="0" fontId="0" fillId="27" borderId="0" xfId="0" applyFill="1"/>
    <xf numFmtId="0" fontId="0" fillId="13" borderId="0" xfId="0" applyFill="1"/>
    <xf numFmtId="0" fontId="0" fillId="41" borderId="0" xfId="0" applyFill="1"/>
    <xf numFmtId="0" fontId="0" fillId="37" borderId="0" xfId="0" applyFill="1"/>
    <xf numFmtId="0" fontId="0" fillId="35" borderId="0" xfId="0" applyFill="1"/>
    <xf numFmtId="0" fontId="0" fillId="25" borderId="0" xfId="0" applyFill="1"/>
    <xf numFmtId="0" fontId="0" fillId="17" borderId="0" xfId="0" applyFill="1"/>
    <xf numFmtId="0" fontId="0" fillId="16" borderId="0" xfId="0" applyFill="1"/>
    <xf numFmtId="0" fontId="0" fillId="38" borderId="0" xfId="0" applyFill="1"/>
    <xf numFmtId="0" fontId="0" fillId="15" borderId="0" xfId="0" applyFill="1"/>
    <xf numFmtId="0" fontId="0" fillId="32" borderId="0" xfId="0" applyFill="1"/>
    <xf numFmtId="0" fontId="0" fillId="24" borderId="0" xfId="0" applyFill="1"/>
    <xf numFmtId="0" fontId="0" fillId="33" borderId="0" xfId="0" applyFill="1"/>
    <xf numFmtId="0" fontId="0" fillId="34" borderId="0" xfId="0" applyFill="1"/>
    <xf numFmtId="0" fontId="0" fillId="23" borderId="0" xfId="0" applyFill="1"/>
    <xf numFmtId="0" fontId="0" fillId="36" borderId="0" xfId="0" applyFill="1"/>
    <xf numFmtId="0" fontId="0" fillId="42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40" borderId="0" xfId="0" applyFill="1"/>
    <xf numFmtId="0" fontId="0" fillId="44" borderId="0" xfId="0" applyFill="1"/>
    <xf numFmtId="0" fontId="0" fillId="19" borderId="0" xfId="0" applyFill="1"/>
    <xf numFmtId="0" fontId="0" fillId="46" borderId="0" xfId="0" applyFill="1"/>
    <xf numFmtId="0" fontId="0" fillId="47" borderId="0" xfId="0" applyFill="1"/>
    <xf numFmtId="0" fontId="0" fillId="45" borderId="0" xfId="0" applyFill="1"/>
    <xf numFmtId="0" fontId="1" fillId="0" borderId="0" xfId="0" applyFont="1"/>
    <xf numFmtId="0" fontId="0" fillId="0" borderId="0" xfId="0" applyNumberFormat="1" applyFill="1"/>
    <xf numFmtId="0" fontId="4" fillId="0" borderId="0" xfId="0" applyFont="1"/>
    <xf numFmtId="165" fontId="4" fillId="0" borderId="0" xfId="0" applyNumberFormat="1" applyFon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</cellXfs>
  <cellStyles count="3">
    <cellStyle name="InvoiceAmount" xfId="1"/>
    <cellStyle name="MyTestStyle" xfId="2"/>
    <cellStyle name="Normal" xfId="0" builtinId="0"/>
  </cellStyles>
  <dxfs count="2">
    <dxf>
      <fill>
        <patternFill>
          <bgColor rgb="FF7B8200"/>
        </patternFill>
      </fill>
    </dxf>
    <dxf>
      <fill>
        <patternFill>
          <bgColor indexed="1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odule">
  <a:themeElements>
    <a:clrScheme name="Paper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Module">
      <a:majorFont>
        <a:latin typeface="Corbel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Corbel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Modul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7500"/>
                <a:satMod val="137000"/>
              </a:schemeClr>
            </a:gs>
            <a:gs pos="55000">
              <a:schemeClr val="phClr">
                <a:shade val="69000"/>
                <a:satMod val="137000"/>
              </a:schemeClr>
            </a:gs>
            <a:gs pos="100000">
              <a:schemeClr val="phClr">
                <a:shade val="98000"/>
                <a:satMod val="137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48000" cap="flat" cmpd="thickThin" algn="ctr">
          <a:solidFill>
            <a:schemeClr val="phClr"/>
          </a:solidFill>
          <a:prstDash val="solid"/>
        </a:ln>
        <a:ln w="48500" cap="flat" cmpd="thickThin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5000" dist="25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39000" dist="254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39000" dist="25400" dir="5400000" rotWithShape="0">
              <a:srgbClr val="000000">
                <a:alpha val="38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1800000"/>
            </a:lightRig>
          </a:scene3d>
          <a:sp3d prstMaterial="matte">
            <a:bevelT h="200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8000"/>
                <a:satMod val="300000"/>
              </a:schemeClr>
            </a:gs>
            <a:gs pos="12000">
              <a:schemeClr val="phClr">
                <a:tint val="48000"/>
                <a:satMod val="300000"/>
              </a:schemeClr>
            </a:gs>
            <a:gs pos="20000">
              <a:schemeClr val="phClr">
                <a:tint val="49000"/>
                <a:satMod val="30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10000" t="-25000" r="10000" b="125000"/>
          </a:path>
        </a:gradFill>
        <a:blipFill>
          <a:blip xmlns:r="http://schemas.openxmlformats.org/officeDocument/2006/relationships" r:embed="rId1">
            <a:duotone>
              <a:schemeClr val="phClr">
                <a:shade val="75000"/>
                <a:satMod val="105000"/>
              </a:schemeClr>
              <a:schemeClr val="phClr">
                <a:tint val="95000"/>
                <a:satMod val="105000"/>
              </a:schemeClr>
            </a:duotone>
          </a:blip>
          <a:tile tx="0" ty="0" sx="38000" sy="38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3"/>
  <sheetViews>
    <sheetView tabSelected="1" workbookViewId="0">
      <selection activeCell="C18" sqref="C18"/>
    </sheetView>
  </sheetViews>
  <sheetFormatPr defaultRowHeight="14.4" x14ac:dyDescent="0.3"/>
  <cols>
    <col min="3" max="3" width="22.33203125" customWidth="1"/>
  </cols>
  <sheetData>
    <row r="1" spans="1:3" x14ac:dyDescent="0.3">
      <c r="A1" s="53" t="s">
        <v>0</v>
      </c>
      <c r="B1" s="53" t="s">
        <v>1</v>
      </c>
      <c r="C1" s="53" t="s">
        <v>2</v>
      </c>
    </row>
    <row r="2" spans="1:3" x14ac:dyDescent="0.3">
      <c r="A2" s="53">
        <v>306</v>
      </c>
      <c r="B2" s="53">
        <v>3</v>
      </c>
      <c r="C2" s="54">
        <v>38853.572850578705</v>
      </c>
    </row>
    <row r="3" spans="1:3" x14ac:dyDescent="0.3">
      <c r="A3" s="53">
        <v>236</v>
      </c>
      <c r="B3" s="53">
        <v>2</v>
      </c>
      <c r="C3" s="54">
        <v>38853.595166319443</v>
      </c>
    </row>
    <row r="4" spans="1:3" x14ac:dyDescent="0.3">
      <c r="A4" s="53">
        <v>217</v>
      </c>
      <c r="B4" s="53">
        <v>2</v>
      </c>
      <c r="C4" s="54">
        <v>38853.598426041666</v>
      </c>
    </row>
    <row r="5" spans="1:3" x14ac:dyDescent="0.3">
      <c r="A5" s="53">
        <v>306</v>
      </c>
      <c r="B5" s="53">
        <v>3</v>
      </c>
      <c r="C5" s="54">
        <v>38853.602274965277</v>
      </c>
    </row>
    <row r="6" spans="1:3" x14ac:dyDescent="0.3">
      <c r="A6" s="53">
        <v>206</v>
      </c>
      <c r="B6" s="53">
        <v>2</v>
      </c>
      <c r="C6" s="54">
        <v>38868.347127546294</v>
      </c>
    </row>
    <row r="7" spans="1:3" x14ac:dyDescent="0.3">
      <c r="A7" s="53">
        <v>336</v>
      </c>
      <c r="B7" s="53">
        <v>3</v>
      </c>
      <c r="C7" s="54">
        <v>38881.203089965275</v>
      </c>
    </row>
    <row r="8" spans="1:3" x14ac:dyDescent="0.3">
      <c r="A8" s="53">
        <v>317</v>
      </c>
      <c r="B8" s="53">
        <v>3</v>
      </c>
      <c r="C8" s="54">
        <v>39601.79973298611</v>
      </c>
    </row>
    <row r="9" spans="1:3" x14ac:dyDescent="0.3">
      <c r="A9" s="53">
        <v>318</v>
      </c>
      <c r="B9" s="53">
        <v>3</v>
      </c>
      <c r="C9" s="54">
        <v>39601.801515011575</v>
      </c>
    </row>
    <row r="10" spans="1:3" x14ac:dyDescent="0.3">
      <c r="A10" s="53">
        <v>313</v>
      </c>
      <c r="B10" s="53">
        <v>3</v>
      </c>
      <c r="C10" s="54">
        <v>39601.803278391206</v>
      </c>
    </row>
    <row r="11" spans="1:3" x14ac:dyDescent="0.3">
      <c r="A11" s="53">
        <v>316</v>
      </c>
      <c r="B11" s="53">
        <v>3</v>
      </c>
      <c r="C11" s="54">
        <v>39601.804297256946</v>
      </c>
    </row>
    <row r="12" spans="1:3" x14ac:dyDescent="0.3">
      <c r="A12" s="53">
        <v>338</v>
      </c>
      <c r="B12" s="53">
        <v>3</v>
      </c>
      <c r="C12" s="54">
        <v>39601.805173460649</v>
      </c>
    </row>
    <row r="13" spans="1:3" x14ac:dyDescent="0.3">
      <c r="A13" s="53">
        <v>306</v>
      </c>
      <c r="B13" s="53">
        <v>3</v>
      </c>
      <c r="C13" s="54">
        <v>39601.806046759259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"/>
  <sheetViews>
    <sheetView workbookViewId="0">
      <selection activeCell="A8" sqref="A8"/>
    </sheetView>
  </sheetViews>
  <sheetFormatPr defaultColWidth="9" defaultRowHeight="14.4" x14ac:dyDescent="0.3"/>
  <cols>
    <col min="1" max="1" width="9" style="3"/>
    <col min="2" max="5" width="9" style="3" customWidth="1"/>
    <col min="6" max="6" width="9" style="3"/>
    <col min="7" max="7" width="12.109375" style="3" customWidth="1"/>
    <col min="8" max="16384" width="9" style="3"/>
  </cols>
  <sheetData>
    <row r="1" spans="1:7" x14ac:dyDescent="0.3">
      <c r="A1" s="3" t="s">
        <v>3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42</v>
      </c>
      <c r="G1" s="52" t="s">
        <v>44</v>
      </c>
    </row>
    <row r="2" spans="1:7" x14ac:dyDescent="0.3">
      <c r="A2" s="3" t="s">
        <v>8</v>
      </c>
      <c r="B2" s="3">
        <v>234</v>
      </c>
      <c r="C2" s="3">
        <v>222</v>
      </c>
      <c r="D2" s="3">
        <v>198</v>
      </c>
      <c r="E2" s="3">
        <v>239</v>
      </c>
      <c r="F2" s="3">
        <f>SUM(B2:E2)</f>
        <v>893</v>
      </c>
      <c r="G2" s="3">
        <f>AVERAGE(B2:E2)</f>
        <v>223.25</v>
      </c>
    </row>
    <row r="3" spans="1:7" x14ac:dyDescent="0.3">
      <c r="A3" s="3" t="s">
        <v>9</v>
      </c>
      <c r="B3" s="3">
        <v>289</v>
      </c>
      <c r="C3" s="3">
        <v>199</v>
      </c>
      <c r="D3" s="3">
        <v>300</v>
      </c>
      <c r="E3" s="3">
        <v>287</v>
      </c>
      <c r="F3" s="3">
        <f t="shared" ref="F3:F6" si="0">SUM(B3:E3)</f>
        <v>1075</v>
      </c>
      <c r="G3" s="3">
        <f t="shared" ref="G3:G6" si="1">AVERAGE(B3:E3)</f>
        <v>268.75</v>
      </c>
    </row>
    <row r="4" spans="1:7" x14ac:dyDescent="0.3">
      <c r="A4" s="3" t="s">
        <v>10</v>
      </c>
      <c r="B4" s="3">
        <v>261</v>
      </c>
      <c r="C4" s="3">
        <v>233</v>
      </c>
      <c r="D4" s="3">
        <v>288</v>
      </c>
      <c r="E4" s="3">
        <v>178</v>
      </c>
      <c r="F4" s="3">
        <f t="shared" si="0"/>
        <v>960</v>
      </c>
      <c r="G4" s="3">
        <f t="shared" si="1"/>
        <v>240</v>
      </c>
    </row>
    <row r="5" spans="1:7" x14ac:dyDescent="0.3">
      <c r="A5" s="3" t="s">
        <v>11</v>
      </c>
      <c r="B5" s="3">
        <v>177</v>
      </c>
      <c r="C5" s="3">
        <v>211</v>
      </c>
      <c r="D5" s="3">
        <v>150</v>
      </c>
      <c r="E5" s="3">
        <v>145</v>
      </c>
      <c r="F5" s="3">
        <f t="shared" si="0"/>
        <v>683</v>
      </c>
      <c r="G5" s="3">
        <f t="shared" si="1"/>
        <v>170.75</v>
      </c>
    </row>
    <row r="6" spans="1:7" x14ac:dyDescent="0.3">
      <c r="A6" s="3" t="s">
        <v>12</v>
      </c>
      <c r="B6" s="3">
        <v>160</v>
      </c>
      <c r="C6" s="3">
        <v>149</v>
      </c>
      <c r="D6" s="3">
        <v>201</v>
      </c>
      <c r="E6" s="3">
        <v>230</v>
      </c>
      <c r="F6" s="3">
        <f t="shared" si="0"/>
        <v>740</v>
      </c>
      <c r="G6" s="3">
        <f t="shared" si="1"/>
        <v>185</v>
      </c>
    </row>
    <row r="7" spans="1:7" x14ac:dyDescent="0.3">
      <c r="B7" s="3">
        <f>SUM(B2:B6)</f>
        <v>1121</v>
      </c>
      <c r="C7" s="3">
        <f t="shared" ref="C7:F7" si="2">SUM(C2:C6)</f>
        <v>1014</v>
      </c>
      <c r="D7" s="3">
        <f t="shared" si="2"/>
        <v>1137</v>
      </c>
      <c r="E7" s="3">
        <f t="shared" si="2"/>
        <v>1079</v>
      </c>
      <c r="F7" s="3">
        <f t="shared" si="2"/>
        <v>4351</v>
      </c>
    </row>
    <row r="8" spans="1:7" x14ac:dyDescent="0.3">
      <c r="A8"/>
    </row>
    <row r="9" spans="1:7" x14ac:dyDescent="0.3">
      <c r="C9" s="4"/>
    </row>
    <row r="10" spans="1:7" x14ac:dyDescent="0.3">
      <c r="C10" s="4"/>
    </row>
    <row r="11" spans="1:7" x14ac:dyDescent="0.3">
      <c r="C11" s="4"/>
    </row>
    <row r="12" spans="1:7" x14ac:dyDescent="0.3">
      <c r="C12" s="4"/>
    </row>
    <row r="13" spans="1:7" x14ac:dyDescent="0.3">
      <c r="C13" s="4"/>
    </row>
  </sheetData>
  <pageMargins left="0.7" right="0.7" top="0.75" bottom="0.75" header="0.3" footer="0.3"/>
  <pageSetup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markers="1" high="1" low="1" first="1" last="1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Sheet2!B4:E4</xm:f>
              <xm:sqref>G4</xm:sqref>
            </x14:sparkline>
          </x14:sparklines>
        </x14:sparklineGroup>
        <x14:sparklineGroup displayEmptyCellsAs="gap" markers="1" high="1" low="1" first="1" last="1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Sheet2!B2:E2</xm:f>
              <xm:sqref>G2</xm:sqref>
            </x14:sparkline>
            <x14:sparkline>
              <xm:f>Sheet2!B3:E3</xm:f>
              <xm:sqref>G3</xm:sqref>
            </x14:sparkline>
            <x14:sparkline>
              <xm:f>Sheet2!B5:E5</xm:f>
              <xm:sqref>G5</xm:sqref>
            </x14:sparkline>
            <x14:sparkline>
              <xm:f>Sheet2!B6:E6</xm:f>
              <xm:sqref>G6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7"/>
  <sheetViews>
    <sheetView workbookViewId="0">
      <selection activeCell="B19" sqref="B19"/>
    </sheetView>
  </sheetViews>
  <sheetFormatPr defaultColWidth="9" defaultRowHeight="14.4" x14ac:dyDescent="0.3"/>
  <cols>
    <col min="1" max="1" width="12.6640625" style="53" customWidth="1"/>
    <col min="2" max="2" width="31.21875" style="56" customWidth="1"/>
    <col min="3" max="3" width="19.88671875" style="53" customWidth="1"/>
    <col min="4" max="16384" width="9" style="53"/>
  </cols>
  <sheetData>
    <row r="1" spans="1:3" x14ac:dyDescent="0.3">
      <c r="A1" t="s">
        <v>13</v>
      </c>
      <c r="B1" s="55" t="s">
        <v>14</v>
      </c>
      <c r="C1" s="2" t="s">
        <v>19</v>
      </c>
    </row>
    <row r="2" spans="1:3" x14ac:dyDescent="0.3">
      <c r="A2" s="1">
        <v>40496</v>
      </c>
      <c r="B2" s="55" t="s">
        <v>15</v>
      </c>
      <c r="C2" s="2">
        <v>20237</v>
      </c>
    </row>
    <row r="3" spans="1:3" x14ac:dyDescent="0.3">
      <c r="A3" s="1">
        <v>40485</v>
      </c>
      <c r="B3" s="55" t="s">
        <v>15</v>
      </c>
      <c r="C3" s="2">
        <v>34459</v>
      </c>
    </row>
    <row r="4" spans="1:3" x14ac:dyDescent="0.3">
      <c r="A4" s="1">
        <v>40484</v>
      </c>
      <c r="B4" s="55" t="s">
        <v>16</v>
      </c>
      <c r="C4" s="2">
        <v>14163</v>
      </c>
    </row>
    <row r="5" spans="1:3" x14ac:dyDescent="0.3">
      <c r="A5" s="1">
        <v>40231</v>
      </c>
      <c r="B5" s="55" t="s">
        <v>16</v>
      </c>
      <c r="C5" s="2">
        <v>76735</v>
      </c>
    </row>
    <row r="6" spans="1:3" x14ac:dyDescent="0.3">
      <c r="A6" s="1">
        <v>40181</v>
      </c>
      <c r="B6" s="55" t="s">
        <v>18</v>
      </c>
      <c r="C6" s="2">
        <v>50520</v>
      </c>
    </row>
    <row r="7" spans="1:3" x14ac:dyDescent="0.3">
      <c r="A7" s="1">
        <v>40149</v>
      </c>
      <c r="B7" s="55" t="s">
        <v>15</v>
      </c>
      <c r="C7" s="2">
        <v>49418</v>
      </c>
    </row>
    <row r="8" spans="1:3" x14ac:dyDescent="0.3">
      <c r="A8" s="1">
        <v>40121</v>
      </c>
      <c r="B8" s="55" t="s">
        <v>17</v>
      </c>
      <c r="C8" s="2">
        <v>20424</v>
      </c>
    </row>
    <row r="9" spans="1:3" x14ac:dyDescent="0.3">
      <c r="A9" s="1">
        <v>40119</v>
      </c>
      <c r="B9" s="55" t="s">
        <v>16</v>
      </c>
      <c r="C9" s="2">
        <v>90722</v>
      </c>
    </row>
    <row r="10" spans="1:3" x14ac:dyDescent="0.3">
      <c r="A10" s="1">
        <v>39869</v>
      </c>
      <c r="B10" s="55" t="s">
        <v>15</v>
      </c>
      <c r="C10" s="2">
        <v>51686</v>
      </c>
    </row>
    <row r="11" spans="1:3" x14ac:dyDescent="0.3">
      <c r="A11" s="1">
        <v>39712</v>
      </c>
      <c r="B11" s="55" t="s">
        <v>16</v>
      </c>
      <c r="C11" s="2">
        <v>80084</v>
      </c>
    </row>
    <row r="12" spans="1:3" x14ac:dyDescent="0.3">
      <c r="A12" s="1">
        <v>39673</v>
      </c>
      <c r="B12" s="55" t="s">
        <v>18</v>
      </c>
      <c r="C12" s="2">
        <v>99436</v>
      </c>
    </row>
    <row r="13" spans="1:3" x14ac:dyDescent="0.3">
      <c r="A13" s="1">
        <v>39640</v>
      </c>
      <c r="B13" s="55" t="s">
        <v>17</v>
      </c>
      <c r="C13" s="2">
        <v>72281</v>
      </c>
    </row>
    <row r="14" spans="1:3" x14ac:dyDescent="0.3">
      <c r="A14" s="1">
        <v>39563</v>
      </c>
      <c r="B14" s="55" t="s">
        <v>17</v>
      </c>
      <c r="C14" s="2">
        <v>80070</v>
      </c>
    </row>
    <row r="15" spans="1:3" x14ac:dyDescent="0.3">
      <c r="A15" s="1">
        <v>39535</v>
      </c>
      <c r="B15" s="55" t="s">
        <v>16</v>
      </c>
      <c r="C15" s="2">
        <v>8054</v>
      </c>
    </row>
    <row r="16" spans="1:3" x14ac:dyDescent="0.3">
      <c r="A16" s="1">
        <v>39524</v>
      </c>
      <c r="B16" s="55" t="s">
        <v>18</v>
      </c>
      <c r="C16" s="2">
        <v>26737</v>
      </c>
    </row>
    <row r="17" spans="1:3" x14ac:dyDescent="0.3">
      <c r="A17" s="1">
        <v>39483</v>
      </c>
      <c r="B17" s="55" t="s">
        <v>17</v>
      </c>
      <c r="C17" s="2">
        <v>34507</v>
      </c>
    </row>
  </sheetData>
  <sortState ref="A2:C17">
    <sortCondition descending="1" ref="A2"/>
  </sortState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F241835E-A0C2-4852-8B13-E7E44286D2E0}">
            <x14:iconSet iconSet="3Symbols" custom="1">
              <x14:cfvo type="percent">
                <xm:f>0</xm:f>
              </x14:cfvo>
              <x14:cfvo type="num">
                <xm:f>50000</xm:f>
              </x14:cfvo>
              <x14:cfvo type="num">
                <xm:f>80000</xm:f>
              </x14:cfvo>
              <x14:cfIcon iconSet="3Symbols" iconId="0"/>
              <x14:cfIcon iconSet="NoIcons" iconId="0"/>
              <x14:cfIcon iconSet="NoIcons" iconId="0"/>
            </x14:iconSet>
          </x14:cfRule>
          <xm:sqref>C1:C17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10"/>
  <sheetViews>
    <sheetView workbookViewId="0">
      <selection activeCell="C14" sqref="C14"/>
    </sheetView>
  </sheetViews>
  <sheetFormatPr defaultRowHeight="14.4" x14ac:dyDescent="0.3"/>
  <sheetData>
    <row r="1" spans="1:4" x14ac:dyDescent="0.3">
      <c r="A1">
        <v>0</v>
      </c>
      <c r="B1" s="5"/>
      <c r="C1" s="65"/>
      <c r="D1">
        <v>1</v>
      </c>
    </row>
    <row r="2" spans="1:4" x14ac:dyDescent="0.3">
      <c r="A2">
        <v>16777215</v>
      </c>
      <c r="B2" s="6"/>
      <c r="C2" s="7"/>
      <c r="D2">
        <v>2</v>
      </c>
    </row>
    <row r="3" spans="1:4" x14ac:dyDescent="0.3">
      <c r="A3">
        <v>7889754</v>
      </c>
      <c r="B3" s="57"/>
      <c r="C3" s="8"/>
      <c r="D3">
        <v>3</v>
      </c>
    </row>
    <row r="4" spans="1:4" x14ac:dyDescent="0.3">
      <c r="A4">
        <v>14079188</v>
      </c>
      <c r="B4" s="58"/>
      <c r="C4" s="9"/>
      <c r="D4">
        <v>4</v>
      </c>
    </row>
    <row r="5" spans="1:4" x14ac:dyDescent="0.3">
      <c r="A5">
        <v>44528</v>
      </c>
      <c r="B5" s="59"/>
      <c r="C5" s="10"/>
      <c r="D5">
        <v>5</v>
      </c>
    </row>
    <row r="6" spans="1:4" x14ac:dyDescent="0.3">
      <c r="A6">
        <v>13415776</v>
      </c>
      <c r="B6" s="60"/>
      <c r="C6" s="11"/>
      <c r="D6">
        <v>6</v>
      </c>
    </row>
    <row r="7" spans="1:4" x14ac:dyDescent="0.3">
      <c r="A7">
        <v>8219878</v>
      </c>
      <c r="B7" s="61"/>
      <c r="C7" s="12"/>
      <c r="D7">
        <v>7</v>
      </c>
    </row>
    <row r="8" spans="1:4" x14ac:dyDescent="0.3">
      <c r="A8">
        <v>7190379</v>
      </c>
      <c r="B8" s="62"/>
      <c r="C8" s="15"/>
      <c r="D8">
        <v>8</v>
      </c>
    </row>
    <row r="9" spans="1:4" x14ac:dyDescent="0.3">
      <c r="A9">
        <v>5342952</v>
      </c>
      <c r="B9" s="63"/>
      <c r="C9" s="13"/>
      <c r="D9">
        <v>9</v>
      </c>
    </row>
    <row r="10" spans="1:4" x14ac:dyDescent="0.3">
      <c r="A10">
        <v>4671686</v>
      </c>
      <c r="B10" s="64"/>
      <c r="C10" s="14"/>
      <c r="D10">
        <v>10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G19" sqref="G19"/>
    </sheetView>
  </sheetViews>
  <sheetFormatPr defaultRowHeight="14.4" x14ac:dyDescent="0.3"/>
  <cols>
    <col min="1" max="1" width="14.6640625" customWidth="1"/>
    <col min="2" max="2" width="6.44140625" customWidth="1"/>
    <col min="3" max="5" width="10.21875" customWidth="1"/>
    <col min="6" max="7" width="9.77734375" customWidth="1"/>
  </cols>
  <sheetData>
    <row r="1" spans="1:7" x14ac:dyDescent="0.3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</row>
    <row r="2" spans="1:7" x14ac:dyDescent="0.3">
      <c r="A2">
        <v>4</v>
      </c>
      <c r="B2" s="9"/>
      <c r="C2" s="21"/>
      <c r="D2" s="22"/>
      <c r="E2" s="23"/>
      <c r="F2" s="24"/>
      <c r="G2" s="25"/>
    </row>
    <row r="3" spans="1:7" x14ac:dyDescent="0.3">
      <c r="A3">
        <v>5</v>
      </c>
      <c r="B3" s="10"/>
      <c r="C3" s="26"/>
      <c r="D3" s="29"/>
      <c r="E3" s="30"/>
      <c r="F3" s="27"/>
      <c r="G3" s="28"/>
    </row>
    <row r="4" spans="1:7" x14ac:dyDescent="0.3">
      <c r="A4">
        <v>6</v>
      </c>
      <c r="B4" s="11"/>
      <c r="C4" s="34"/>
      <c r="D4" s="35"/>
      <c r="E4" s="36"/>
      <c r="F4" s="37"/>
      <c r="G4" s="38"/>
    </row>
    <row r="5" spans="1:7" x14ac:dyDescent="0.3">
      <c r="A5">
        <v>7</v>
      </c>
      <c r="B5" s="12"/>
      <c r="C5" s="31"/>
      <c r="D5" s="32"/>
      <c r="E5" s="39"/>
      <c r="F5" s="40"/>
      <c r="G5" s="41"/>
    </row>
    <row r="6" spans="1:7" x14ac:dyDescent="0.3">
      <c r="A6">
        <v>8</v>
      </c>
      <c r="B6" s="15"/>
      <c r="C6" s="16"/>
      <c r="D6" s="17"/>
      <c r="E6" s="18"/>
      <c r="F6" s="19"/>
      <c r="G6" s="20"/>
    </row>
    <row r="7" spans="1:7" x14ac:dyDescent="0.3">
      <c r="A7">
        <v>9</v>
      </c>
      <c r="B7" s="13"/>
      <c r="C7" s="42"/>
      <c r="D7" s="43"/>
      <c r="E7" s="44"/>
      <c r="F7" s="45"/>
      <c r="G7" s="46"/>
    </row>
    <row r="8" spans="1:7" x14ac:dyDescent="0.3">
      <c r="A8">
        <v>10</v>
      </c>
      <c r="B8" s="14"/>
      <c r="C8" s="47"/>
      <c r="D8" s="48"/>
      <c r="E8" s="49"/>
      <c r="F8" s="33"/>
      <c r="G8" s="50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2"/>
  <sheetViews>
    <sheetView workbookViewId="0"/>
  </sheetViews>
  <sheetFormatPr defaultRowHeight="14.4" x14ac:dyDescent="0.3"/>
  <cols>
    <col min="1" max="1" width="12.44140625" customWidth="1"/>
  </cols>
  <sheetData>
    <row r="1" spans="1:2" x14ac:dyDescent="0.3">
      <c r="A1" t="s">
        <v>27</v>
      </c>
      <c r="B1" t="s">
        <v>27</v>
      </c>
    </row>
    <row r="2" spans="1:2" x14ac:dyDescent="0.3">
      <c r="A2" t="s">
        <v>28</v>
      </c>
      <c r="B2" t="s">
        <v>37</v>
      </c>
    </row>
    <row r="3" spans="1:2" x14ac:dyDescent="0.3">
      <c r="A3" t="s">
        <v>29</v>
      </c>
    </row>
    <row r="4" spans="1:2" x14ac:dyDescent="0.3">
      <c r="A4" t="s">
        <v>30</v>
      </c>
      <c r="B4" t="s">
        <v>33</v>
      </c>
    </row>
    <row r="5" spans="1:2" x14ac:dyDescent="0.3">
      <c r="A5" t="s">
        <v>31</v>
      </c>
      <c r="B5" t="s">
        <v>36</v>
      </c>
    </row>
    <row r="6" spans="1:2" x14ac:dyDescent="0.3">
      <c r="A6" t="s">
        <v>32</v>
      </c>
    </row>
    <row r="7" spans="1:2" x14ac:dyDescent="0.3">
      <c r="A7" t="s">
        <v>33</v>
      </c>
      <c r="B7" t="s">
        <v>32</v>
      </c>
    </row>
    <row r="8" spans="1:2" x14ac:dyDescent="0.3">
      <c r="A8" t="s">
        <v>34</v>
      </c>
      <c r="B8" t="s">
        <v>28</v>
      </c>
    </row>
    <row r="9" spans="1:2" x14ac:dyDescent="0.3">
      <c r="A9" t="s">
        <v>35</v>
      </c>
      <c r="B9" t="s">
        <v>40</v>
      </c>
    </row>
    <row r="10" spans="1:2" x14ac:dyDescent="0.3">
      <c r="A10" t="s">
        <v>36</v>
      </c>
      <c r="B10" t="s">
        <v>34</v>
      </c>
    </row>
    <row r="11" spans="1:2" x14ac:dyDescent="0.3">
      <c r="A11" t="s">
        <v>37</v>
      </c>
      <c r="B11" t="s">
        <v>35</v>
      </c>
    </row>
    <row r="12" spans="1:2" x14ac:dyDescent="0.3">
      <c r="A12" t="s">
        <v>38</v>
      </c>
      <c r="B12" t="s">
        <v>39</v>
      </c>
    </row>
  </sheetData>
  <sortState ref="B1:B12">
    <sortCondition ref="B1"/>
  </sortState>
  <conditionalFormatting sqref="A1:B12">
    <cfRule type="expression" dxfId="1" priority="2" stopIfTrue="1">
      <formula>MOD(ROW(),3)=0</formula>
    </cfRule>
  </conditionalFormatting>
  <conditionalFormatting sqref="B1">
    <cfRule type="iconSet" priority="1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5"/>
  <sheetViews>
    <sheetView workbookViewId="0">
      <selection activeCell="D18" sqref="D18"/>
    </sheetView>
  </sheetViews>
  <sheetFormatPr defaultRowHeight="14.4" x14ac:dyDescent="0.3"/>
  <cols>
    <col min="1" max="1" width="10" customWidth="1"/>
  </cols>
  <sheetData>
    <row r="1" spans="1:6" x14ac:dyDescent="0.3">
      <c r="A1" s="51">
        <v>2008</v>
      </c>
      <c r="B1" s="51">
        <v>2009</v>
      </c>
      <c r="D1" t="s">
        <v>41</v>
      </c>
      <c r="F1">
        <v>2345.0100000000002</v>
      </c>
    </row>
    <row r="2" spans="1:6" x14ac:dyDescent="0.3">
      <c r="A2">
        <v>2111</v>
      </c>
      <c r="B2">
        <v>2111</v>
      </c>
    </row>
    <row r="3" spans="1:6" x14ac:dyDescent="0.3">
      <c r="A3">
        <v>2900</v>
      </c>
      <c r="B3">
        <v>3200</v>
      </c>
    </row>
    <row r="4" spans="1:6" x14ac:dyDescent="0.3">
      <c r="A4">
        <v>2311</v>
      </c>
      <c r="B4">
        <v>2192</v>
      </c>
    </row>
    <row r="5" spans="1:6" x14ac:dyDescent="0.3">
      <c r="A5">
        <v>2197</v>
      </c>
      <c r="B5">
        <v>2100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7"/>
  <sheetViews>
    <sheetView workbookViewId="0">
      <selection activeCell="A9" sqref="A9"/>
    </sheetView>
  </sheetViews>
  <sheetFormatPr defaultColWidth="9" defaultRowHeight="14.4" x14ac:dyDescent="0.3"/>
  <cols>
    <col min="1" max="16384" width="9" style="53"/>
  </cols>
  <sheetData>
    <row r="1" spans="1:6" x14ac:dyDescent="0.3">
      <c r="A1" s="53" t="s">
        <v>3</v>
      </c>
      <c r="B1" s="53" t="s">
        <v>4</v>
      </c>
      <c r="C1" s="53" t="s">
        <v>5</v>
      </c>
      <c r="D1" s="53" t="s">
        <v>6</v>
      </c>
      <c r="E1" s="53" t="s">
        <v>7</v>
      </c>
      <c r="F1" s="53" t="s">
        <v>42</v>
      </c>
    </row>
    <row r="2" spans="1:6" x14ac:dyDescent="0.3">
      <c r="A2" s="53" t="s">
        <v>8</v>
      </c>
      <c r="B2">
        <v>234</v>
      </c>
      <c r="C2">
        <v>22</v>
      </c>
      <c r="D2">
        <v>198</v>
      </c>
      <c r="E2">
        <v>239</v>
      </c>
      <c r="F2" s="53">
        <f>SUM(B2:E2)</f>
        <v>693</v>
      </c>
    </row>
    <row r="3" spans="1:6" x14ac:dyDescent="0.3">
      <c r="A3" s="53" t="s">
        <v>9</v>
      </c>
      <c r="B3">
        <v>289</v>
      </c>
      <c r="C3">
        <v>199</v>
      </c>
      <c r="D3">
        <v>300</v>
      </c>
      <c r="E3">
        <v>287</v>
      </c>
      <c r="F3" s="53">
        <f t="shared" ref="F3:F7" si="0">SUM(B3:E3)</f>
        <v>1075</v>
      </c>
    </row>
    <row r="4" spans="1:6" x14ac:dyDescent="0.3">
      <c r="A4" s="53" t="s">
        <v>10</v>
      </c>
      <c r="B4">
        <v>261</v>
      </c>
      <c r="C4">
        <v>233</v>
      </c>
      <c r="D4">
        <v>288</v>
      </c>
      <c r="E4">
        <v>178</v>
      </c>
      <c r="F4" s="53">
        <f t="shared" si="0"/>
        <v>960</v>
      </c>
    </row>
    <row r="5" spans="1:6" x14ac:dyDescent="0.3">
      <c r="A5" s="53" t="s">
        <v>11</v>
      </c>
      <c r="B5">
        <v>177</v>
      </c>
      <c r="C5">
        <v>211</v>
      </c>
      <c r="D5">
        <v>150</v>
      </c>
      <c r="E5">
        <v>145</v>
      </c>
      <c r="F5" s="53">
        <f t="shared" si="0"/>
        <v>683</v>
      </c>
    </row>
    <row r="6" spans="1:6" x14ac:dyDescent="0.3">
      <c r="A6" s="53" t="s">
        <v>43</v>
      </c>
      <c r="B6">
        <v>160</v>
      </c>
      <c r="C6">
        <v>149</v>
      </c>
      <c r="D6">
        <v>201</v>
      </c>
      <c r="E6">
        <v>230</v>
      </c>
      <c r="F6" s="53">
        <f t="shared" si="0"/>
        <v>740</v>
      </c>
    </row>
    <row r="7" spans="1:6" x14ac:dyDescent="0.3">
      <c r="B7" s="53">
        <f>SUM(B2:B6)</f>
        <v>1121</v>
      </c>
      <c r="C7" s="53">
        <f t="shared" ref="C7:E7" si="1">SUM(C2:C6)</f>
        <v>814</v>
      </c>
      <c r="D7" s="53">
        <f t="shared" si="1"/>
        <v>1137</v>
      </c>
      <c r="E7" s="53">
        <f t="shared" si="1"/>
        <v>1079</v>
      </c>
      <c r="F7" s="53">
        <f t="shared" si="0"/>
        <v>4151</v>
      </c>
    </row>
  </sheetData>
  <conditionalFormatting sqref="A1:F1 A7:F7 A2:A6 F2:F6">
    <cfRule type="containsText" dxfId="0" priority="2" stopIfTrue="1" operator="containsText" text="Qtr">
      <formula>NOT(ISERROR(SEARCH("Qtr",A1)))</formula>
    </cfRule>
  </conditionalFormatting>
  <conditionalFormatting sqref="B2:E6">
    <cfRule type="colorScale" priority="3">
      <colorScale>
        <cfvo type="min"/>
        <cfvo type="max"/>
        <color rgb="FF00FF00"/>
        <color rgb="FF0000FF"/>
      </colorScale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7"/>
  <sheetViews>
    <sheetView workbookViewId="0">
      <selection activeCell="D18" sqref="D18"/>
    </sheetView>
  </sheetViews>
  <sheetFormatPr defaultColWidth="9" defaultRowHeight="14.4" x14ac:dyDescent="0.3"/>
  <cols>
    <col min="1" max="16384" width="9" style="53"/>
  </cols>
  <sheetData>
    <row r="1" spans="1:6" x14ac:dyDescent="0.3">
      <c r="A1" s="53" t="s">
        <v>3</v>
      </c>
      <c r="B1" s="53" t="s">
        <v>4</v>
      </c>
      <c r="C1" s="53" t="s">
        <v>5</v>
      </c>
      <c r="D1" s="53" t="s">
        <v>6</v>
      </c>
      <c r="E1" s="53" t="s">
        <v>7</v>
      </c>
      <c r="F1" s="53" t="s">
        <v>42</v>
      </c>
    </row>
    <row r="2" spans="1:6" x14ac:dyDescent="0.3">
      <c r="A2" s="53" t="s">
        <v>8</v>
      </c>
      <c r="B2" s="53">
        <v>234</v>
      </c>
      <c r="C2" s="53">
        <v>22</v>
      </c>
      <c r="D2" s="53">
        <v>198</v>
      </c>
      <c r="E2" s="53">
        <v>239</v>
      </c>
      <c r="F2" s="53">
        <f>SUM(B2:E2)</f>
        <v>693</v>
      </c>
    </row>
    <row r="3" spans="1:6" x14ac:dyDescent="0.3">
      <c r="A3" s="53" t="s">
        <v>9</v>
      </c>
      <c r="B3" s="53">
        <v>289</v>
      </c>
      <c r="C3" s="53">
        <v>199</v>
      </c>
      <c r="D3" s="53">
        <v>300</v>
      </c>
      <c r="E3" s="53">
        <v>287</v>
      </c>
      <c r="F3" s="53">
        <f t="shared" ref="F3:F7" si="0">SUM(B3:E3)</f>
        <v>1075</v>
      </c>
    </row>
    <row r="4" spans="1:6" x14ac:dyDescent="0.3">
      <c r="A4" s="53" t="s">
        <v>10</v>
      </c>
      <c r="B4" s="53">
        <v>261</v>
      </c>
      <c r="C4" s="53">
        <v>233</v>
      </c>
      <c r="D4" s="53">
        <v>288</v>
      </c>
      <c r="E4" s="53">
        <v>178</v>
      </c>
      <c r="F4" s="53">
        <f t="shared" si="0"/>
        <v>960</v>
      </c>
    </row>
    <row r="5" spans="1:6" x14ac:dyDescent="0.3">
      <c r="A5" s="53" t="s">
        <v>11</v>
      </c>
      <c r="B5" s="53">
        <v>177</v>
      </c>
      <c r="C5" s="53">
        <v>211</v>
      </c>
      <c r="D5" s="53">
        <v>150</v>
      </c>
      <c r="E5" s="53">
        <v>145</v>
      </c>
      <c r="F5" s="53">
        <f t="shared" si="0"/>
        <v>683</v>
      </c>
    </row>
    <row r="6" spans="1:6" x14ac:dyDescent="0.3">
      <c r="A6" s="53" t="s">
        <v>43</v>
      </c>
      <c r="B6" s="53">
        <v>160</v>
      </c>
      <c r="C6" s="53">
        <v>149</v>
      </c>
      <c r="D6" s="53">
        <v>201</v>
      </c>
      <c r="E6" s="53">
        <v>230</v>
      </c>
      <c r="F6" s="53">
        <f t="shared" si="0"/>
        <v>740</v>
      </c>
    </row>
    <row r="7" spans="1:6" x14ac:dyDescent="0.3">
      <c r="B7" s="53">
        <f>SUM(B2:B6)</f>
        <v>1121</v>
      </c>
      <c r="C7" s="53">
        <f t="shared" ref="C7:E7" si="1">SUM(C2:C6)</f>
        <v>814</v>
      </c>
      <c r="D7" s="53">
        <f t="shared" si="1"/>
        <v>1137</v>
      </c>
      <c r="E7" s="53">
        <f t="shared" si="1"/>
        <v>1079</v>
      </c>
      <c r="F7" s="53">
        <f t="shared" si="0"/>
        <v>4151</v>
      </c>
    </row>
  </sheetData>
  <conditionalFormatting sqref="B2:E6">
    <cfRule type="colorScale" priority="1">
      <colorScale>
        <cfvo type="min"/>
        <cfvo type="max"/>
        <color rgb="FFF8696B"/>
        <color rgb="FF63BE7B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Sheet8 (2)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2011-02-01T04:24:56Z</dcterms:created>
  <dcterms:modified xsi:type="dcterms:W3CDTF">2014-02-28T02:56:56Z</dcterms:modified>
</cp:coreProperties>
</file>