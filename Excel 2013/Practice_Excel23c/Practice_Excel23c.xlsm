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4000" windowHeight="11028"/>
  </bookViews>
  <sheets>
    <sheet name="Sheet5" sheetId="13" r:id="rId1"/>
    <sheet name="Sheet6" sheetId="15" r:id="rId2"/>
    <sheet name="Sheet4" sheetId="12" r:id="rId3"/>
    <sheet name="Sheet1" sheetId="1" r:id="rId4"/>
    <sheet name="Sheet2" sheetId="3" r:id="rId5"/>
    <sheet name="Sheet3" sheetId="4" r:id="rId6"/>
  </sheets>
  <calcPr calcId="152511"/>
  <pivotCaches>
    <pivotCache cacheId="0" r:id="rId7"/>
    <pivotCache cacheId="1" r:id="rId8"/>
    <pivotCache cacheId="2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11" type="1" refreshedVersion="5">
    <dbPr connection="DBQ=C:\Excel2013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  <connection id="2" name="Connection8" type="1" refreshedVersion="5">
    <dbPr connection="DBQ=C:\Excel2013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  <connection id="3" name="Connection9" type="1" refreshedVersion="5">
    <dbPr connection="DBQ=C:\Excel2013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</connections>
</file>

<file path=xl/sharedStrings.xml><?xml version="1.0" encoding="utf-8"?>
<sst xmlns="http://schemas.openxmlformats.org/spreadsheetml/2006/main" count="55" uniqueCount="25">
  <si>
    <t>CompanyName</t>
  </si>
  <si>
    <t>(All)</t>
  </si>
  <si>
    <t>Sum of ExtendedPrice</t>
  </si>
  <si>
    <t>Grand Total</t>
  </si>
  <si>
    <t>Salesperson</t>
  </si>
  <si>
    <t>Andrew Fuller</t>
  </si>
  <si>
    <t>Anne Dodsworth</t>
  </si>
  <si>
    <t>Janet Leverling</t>
  </si>
  <si>
    <t>Laura Callahan</t>
  </si>
  <si>
    <t>Margaret Peacock</t>
  </si>
  <si>
    <t>Michael Suyama</t>
  </si>
  <si>
    <t>Nancy Davolio</t>
  </si>
  <si>
    <t>Robert King</t>
  </si>
  <si>
    <t>Steven Buchanan</t>
  </si>
  <si>
    <t>North America</t>
  </si>
  <si>
    <t>South America</t>
  </si>
  <si>
    <t>Europe</t>
  </si>
  <si>
    <t>Continent</t>
  </si>
  <si>
    <t>Male</t>
  </si>
  <si>
    <t>Female</t>
  </si>
  <si>
    <t>=USA+Canada+Mexico</t>
  </si>
  <si>
    <t>=Argentina+Brazil+Venezuela</t>
  </si>
  <si>
    <t>='Michael Suyama'+'Andrew Fuller'+'Robert King'+'Steven Buchanan'</t>
  </si>
  <si>
    <t>=Austria+Belgium+Denmark+Finland+France+Germany+Ireland+Italy+Norway+Poland+Portugal+Spain+Sweden+Switzerland+UK</t>
  </si>
  <si>
    <t>='Anne Dodsworth'+'Laura Callahan'+'Janet Leverling'+'Margaret Peacock'+'Nancy Davolio'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</si>
</sst>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pivotButton="1" applyBorder="1"/>
    <xf numFmtId="0" fontId="0" fillId="0" borderId="1" xfId="0" pivotButton="1" applyBorder="1"/>
    <xf numFmtId="0" fontId="0" fillId="0" borderId="2" xfId="0" applyNumberFormat="1" applyBorder="1"/>
    <xf numFmtId="0" fontId="0" fillId="0" borderId="5" xfId="0" applyBorder="1"/>
    <xf numFmtId="0" fontId="0" fillId="0" borderId="6" xfId="0" applyNumberFormat="1" applyBorder="1"/>
    <xf numFmtId="0" fontId="0" fillId="0" borderId="4" xfId="0" applyNumberForma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NumberFormat="1" applyBorder="1"/>
    <xf numFmtId="0" fontId="0" fillId="0" borderId="9" xfId="0" applyNumberFormat="1" applyBorder="1"/>
    <xf numFmtId="0" fontId="0" fillId="0" borderId="5" xfId="0" applyNumberFormat="1" applyBorder="1"/>
    <xf numFmtId="0" fontId="0" fillId="0" borderId="0" xfId="0" applyNumberFormat="1"/>
    <xf numFmtId="0" fontId="0" fillId="0" borderId="3" xfId="0" applyNumberFormat="1" applyBorder="1"/>
    <xf numFmtId="0" fontId="0" fillId="0" borderId="10" xfId="0" applyNumberFormat="1" applyBorder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uthor" refreshedDate="41483.725891666669" refreshedVersion="5" recordCount="2155">
  <cacheSource type="external" connectionId="2"/>
  <cacheFields count="5">
    <cacheField name="CompanyName" numFmtId="0" sqlType="-9">
      <sharedItems count="89">
        <s v="Océano Atlántico Ltda."/>
        <s v="Rancho grande"/>
        <s v="Cactus Comidas para llevar"/>
        <s v="Ernst Handel"/>
        <s v="Piccolo und mehr"/>
        <s v="Suprêmes délices"/>
        <s v="Maison Dewey"/>
        <s v="Hanari Carnes"/>
        <s v="Que Delícia"/>
        <s v="Ricardo Adocicados"/>
        <s v="Queen Cozinha"/>
        <s v="Familia Arquibaldo"/>
        <s v="Comércio Mineiro"/>
        <s v="Gourmet Lanchonetes"/>
        <s v="Wellington Importadora"/>
        <s v="Tradição Hipermercados"/>
        <s v="Bottom-Dollar Markets"/>
        <s v="Mère Paillarde"/>
        <s v="Laughing Bacchus Wine Cellars"/>
        <s v="Vaffeljernet"/>
        <s v="Simons bistro"/>
        <s v="Wartian Herkku"/>
        <s v="Wilman Kala"/>
        <s v="Blondel père et fils"/>
        <s v="Bon app'"/>
        <s v="Folies gourmandes"/>
        <s v="La maison d'Asie"/>
        <s v="France restauration"/>
        <s v="Vins et alcools Chevalier"/>
        <s v="Victuailles en stock"/>
        <s v="La corne d'abondance"/>
        <s v="Du monde entier"/>
        <s v="Spécialités du monde"/>
        <s v="Frankenversand"/>
        <s v="QUICK-Stop"/>
        <s v="Königlich Essen"/>
        <s v="Ottilies Käseladen"/>
        <s v="Blauer See Delikatessen"/>
        <s v="Lehmanns Marktstand"/>
        <s v="Alfreds Futterkiste"/>
        <s v="Die Wandernde Kuh"/>
        <s v="Drachenblut Delikatessen"/>
        <s v="Morgenstern Gesundkost"/>
        <s v="Toms Spezialitäten"/>
        <s v="Hungry Owl All-Night Grocers"/>
        <s v="Magazzini Alimentari Riuniti"/>
        <s v="Reggiani Caseifici"/>
        <s v="Franchi S.p.A."/>
        <s v="Tortuga Restaurante"/>
        <s v="Antonio Moreno Taquería"/>
        <s v="Ana Trujillo Emparedados y helados"/>
        <s v="Pericles Comidas clásicas"/>
        <s v="Centro comercial Moctezuma"/>
        <s v="Santé Gourmet"/>
        <s v="Wolski  Zajazd"/>
        <s v="Princesa Isabel Vinhos"/>
        <s v="Furia Bacalhau e Frutos do Mar"/>
        <s v="Godos Cocina Típica"/>
        <s v="Romero y tomillo"/>
        <s v="Galería del gastrónomo"/>
        <s v="Bólido Comidas preparadas"/>
        <s v="Folk och fä HB"/>
        <s v="Berglunds snabbköp"/>
        <s v="Chop-suey Chinese"/>
        <s v="Richter Supermarkt"/>
        <s v="Island Trading"/>
        <s v="Around the Horn"/>
        <s v="Seven Seas Imports"/>
        <s v="B's Beverages"/>
        <s v="Eastern Connection"/>
        <s v="Consolidated Holdings"/>
        <s v="North/South"/>
        <s v="White Clover Markets"/>
        <s v="Save-a-lot Markets"/>
        <s v="Split Rail Beer &amp; Ale"/>
        <s v="Rattlesnake Canyon Grocery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NO-Delicateses"/>
        <s v="HILARIÓN-Abastos"/>
        <s v="LILA-Supermercado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11">
        <s v="Margaret Peacock"/>
        <s v="Laura Callahan"/>
        <s v="Anne Dodsworth"/>
        <s v="Andrew Fuller"/>
        <s v="Nancy Davolio"/>
        <s v="Robert King"/>
        <s v="Michael Suyama"/>
        <s v="Janet Leverling"/>
        <s v="Steven Buchanan"/>
        <s v="Male" f="1"/>
        <s v="Female" f="1"/>
      </sharedItems>
    </cacheField>
    <cacheField name="ProductName" numFmtId="0" sqlType="-9">
      <sharedItems/>
    </cacheField>
    <cacheField name="ExtendedPrice" numFmtId="0" sqlType="2">
      <sharedItems containsSemiMixedTypes="0" containsString="0" containsNumber="1" minValue="4.8" maxValue="15810"/>
    </cacheField>
  </cacheFields>
  <calculatedItems count="5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  <calculatedItem formula="Salesperson['Michael Suyama']+Salesperson['Andrew Fuller']+Salesperson['Robert King']+Salesperson['Steven Buchanan']">
      <pivotArea cacheIndex="1" outline="0" fieldPosition="0">
        <references count="1">
          <reference field="2" count="1">
            <x v="9"/>
          </reference>
        </references>
      </pivotArea>
    </calculatedItem>
    <calculatedItem formula="Salesperson['Anne Dodsworth']+Salesperson['Laura Callahan']+Salesperson['Janet Leverling']+Salesperson['Margaret Peacock']+Salesperson['Nancy Davolio']">
      <pivotArea cacheIndex="1" outline="0" fieldPosition="0">
        <references count="1">
          <reference field="2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Author" refreshedDate="41483.73731365741" refreshedVersion="5" recordCount="2155">
  <cacheSource type="external" connectionId="3"/>
  <cacheFields count="5">
    <cacheField name="CompanyName" numFmtId="0" sqlType="-9">
      <sharedItems count="89">
        <s v="Océano Atlántico Ltda."/>
        <s v="Rancho grande"/>
        <s v="Cactus Comidas para llevar"/>
        <s v="Ernst Handel"/>
        <s v="Piccolo und mehr"/>
        <s v="Suprêmes délices"/>
        <s v="Maison Dewey"/>
        <s v="Hanari Carnes"/>
        <s v="Que Delícia"/>
        <s v="Ricardo Adocicados"/>
        <s v="Queen Cozinha"/>
        <s v="Familia Arquibaldo"/>
        <s v="Comércio Mineiro"/>
        <s v="Gourmet Lanchonetes"/>
        <s v="Wellington Importadora"/>
        <s v="Tradição Hipermercados"/>
        <s v="Bottom-Dollar Markets"/>
        <s v="Mère Paillarde"/>
        <s v="Laughing Bacchus Wine Cellars"/>
        <s v="Vaffeljernet"/>
        <s v="Simons bistro"/>
        <s v="Wartian Herkku"/>
        <s v="Wilman Kala"/>
        <s v="Blondel père et fils"/>
        <s v="Bon app'"/>
        <s v="Folies gourmandes"/>
        <s v="La maison d'Asie"/>
        <s v="France restauration"/>
        <s v="Vins et alcools Chevalier"/>
        <s v="Victuailles en stock"/>
        <s v="La corne d'abondance"/>
        <s v="Du monde entier"/>
        <s v="Spécialités du monde"/>
        <s v="Frankenversand"/>
        <s v="QUICK-Stop"/>
        <s v="Königlich Essen"/>
        <s v="Ottilies Käseladen"/>
        <s v="Blauer See Delikatessen"/>
        <s v="Lehmanns Marktstand"/>
        <s v="Alfreds Futterkiste"/>
        <s v="Die Wandernde Kuh"/>
        <s v="Drachenblut Delikatessen"/>
        <s v="Morgenstern Gesundkost"/>
        <s v="Toms Spezialitäten"/>
        <s v="Hungry Owl All-Night Grocers"/>
        <s v="Magazzini Alimentari Riuniti"/>
        <s v="Reggiani Caseifici"/>
        <s v="Franchi S.p.A."/>
        <s v="Tortuga Restaurante"/>
        <s v="Antonio Moreno Taquería"/>
        <s v="Ana Trujillo Emparedados y helados"/>
        <s v="Pericles Comidas clásicas"/>
        <s v="Centro comercial Moctezuma"/>
        <s v="Santé Gourmet"/>
        <s v="Wolski  Zajazd"/>
        <s v="Princesa Isabel Vinhos"/>
        <s v="Furia Bacalhau e Frutos do Mar"/>
        <s v="Godos Cocina Típica"/>
        <s v="Romero y tomillo"/>
        <s v="Galería del gastrónomo"/>
        <s v="Bólido Comidas preparadas"/>
        <s v="Folk och fä HB"/>
        <s v="Berglunds snabbköp"/>
        <s v="Chop-suey Chinese"/>
        <s v="Richter Supermarkt"/>
        <s v="Island Trading"/>
        <s v="Around the Horn"/>
        <s v="Seven Seas Imports"/>
        <s v="B's Beverages"/>
        <s v="Eastern Connection"/>
        <s v="Consolidated Holdings"/>
        <s v="North/South"/>
        <s v="White Clover Markets"/>
        <s v="Save-a-lot Markets"/>
        <s v="Split Rail Beer &amp; Ale"/>
        <s v="Rattlesnake Canyon Grocery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NO-Delicateses"/>
        <s v="HILARIÓN-Abastos"/>
        <s v="LILA-Supermercado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11">
        <s v="Margaret Peacock"/>
        <s v="Laura Callahan"/>
        <s v="Anne Dodsworth"/>
        <s v="Andrew Fuller"/>
        <s v="Nancy Davolio"/>
        <s v="Robert King"/>
        <s v="Michael Suyama"/>
        <s v="Janet Leverling"/>
        <s v="Steven Buchanan"/>
        <s v="Male" f="1"/>
        <s v="Female" f="1"/>
      </sharedItems>
    </cacheField>
    <cacheField name="ProductName" numFmtId="0" sqlType="-9">
      <sharedItems count="77">
        <s v="Konbu"/>
        <s v="Gumbär Gummibärchen"/>
        <s v="Geitost"/>
        <s v="Laughing Lumberjack Lager"/>
        <s v="Sir Rodney's Marmalade"/>
        <s v="Ipoh Coffee"/>
        <s v="Mascarpone Fabioli"/>
        <s v="Raclette Courdavault"/>
        <s v="Pavlova"/>
        <s v="Sirop d'érable"/>
        <s v="Côte de Blaye"/>
        <s v="Sir Rodney's Scones"/>
        <s v="Röd Kaviar"/>
        <s v="Gorgonzola Telino"/>
        <s v="Boston Crab Meat"/>
        <s v="Rhönbräu Klosterbier"/>
        <s v="Scottish Longbreads"/>
        <s v="Sasquatch Ale"/>
        <s v="Rössle Sauerkraut"/>
        <s v="Chef Anton's Gumbo Mix"/>
        <s v="Maxilaku"/>
        <s v="Spegesild"/>
        <s v="Ravioli Angelo"/>
        <s v="Jack's New England Clam Chowder"/>
        <s v="Manjimup Dried Apples"/>
        <s v="Uncle Bob's Organic Dried Pears"/>
        <s v="Mozzarella di Giovanni"/>
        <s v="Queso Cabrales"/>
        <s v="Lakkalikööri"/>
        <s v="Original Frankfurter grüne Soße"/>
        <s v="Steeleye Stout"/>
        <s v="Tofu"/>
        <s v="Vegie-spread"/>
        <s v="Guaraná Fantástica"/>
        <s v="Wimmers gute Semmelknödel"/>
        <s v="Chartreuse verte"/>
        <s v="Gustaf's Knäckebröd"/>
        <s v="Louisiana Fiery Hot Pepper Sauce"/>
        <s v="Gula Malacca"/>
        <s v="Queso Manchego La Pastora"/>
        <s v="Alice Mutton"/>
        <s v="Singaporean Hokkien Fried Mee"/>
        <s v="Ikura"/>
        <s v="Chocolade"/>
        <s v="Camembert Pierrot"/>
        <s v="Røgede sild"/>
        <s v="Chang"/>
        <s v="Tarte au sucre"/>
        <s v="Fløtemysost"/>
        <s v="Tunnbröd"/>
        <s v="Carnarvon Tigers"/>
        <s v="Gudbrandsdalsost"/>
        <s v="Pâté chinois"/>
        <s v="Aniseed Syrup"/>
        <s v="Longlife Tofu"/>
        <s v="Nord-Ost Matjeshering"/>
        <s v="Gnocchi di nonna Alice"/>
        <s v="Tourtière"/>
        <s v="Thüringer Rostbratwurst"/>
        <s v="Louisiana Hot Spiced Okra"/>
        <s v="Outback Lager"/>
        <s v="Valkoinen suklaa"/>
        <s v="Schoggi Schokolade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Inlagd Sill"/>
        <s v="Grandma's Boysenberry Spread"/>
        <s v="Perth Pasties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calculatedItems count="5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  <calculatedItem formula="Salesperson['Michael Suyama']+Salesperson['Andrew Fuller']+Salesperson['Robert King']+Salesperson['Steven Buchanan']">
      <pivotArea cacheIndex="1" outline="0" fieldPosition="0">
        <references count="1">
          <reference field="2" count="1">
            <x v="9"/>
          </reference>
        </references>
      </pivotArea>
    </calculatedItem>
    <calculatedItem formula="Salesperson['Anne Dodsworth']+Salesperson['Laura Callahan']+Salesperson['Janet Leverling']+Salesperson['Margaret Peacock']+Salesperson['Nancy Davolio']">
      <pivotArea cacheIndex="1" outline="0" fieldPosition="0">
        <references count="1">
          <reference field="2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Author" refreshedDate="41485.700223726853" refreshedVersion="5" recordCount="2155">
  <cacheSource type="external" connectionId="1"/>
  <cacheFields count="5">
    <cacheField name="CompanyName" numFmtId="0" sqlType="-9">
      <sharedItems count="89">
        <s v="Océano Atlántico Ltda."/>
        <s v="Rancho grande"/>
        <s v="Cactus Comidas para llevar"/>
        <s v="Ernst Handel"/>
        <s v="Piccolo und mehr"/>
        <s v="Suprêmes délices"/>
        <s v="Maison Dewey"/>
        <s v="Hanari Carnes"/>
        <s v="Que Delícia"/>
        <s v="Ricardo Adocicados"/>
        <s v="Queen Cozinha"/>
        <s v="Familia Arquibaldo"/>
        <s v="Comércio Mineiro"/>
        <s v="Gourmet Lanchonetes"/>
        <s v="Wellington Importadora"/>
        <s v="Tradição Hipermercados"/>
        <s v="Bottom-Dollar Markets"/>
        <s v="Mère Paillarde"/>
        <s v="Laughing Bacchus Wine Cellars"/>
        <s v="Vaffeljernet"/>
        <s v="Simons bistro"/>
        <s v="Wartian Herkku"/>
        <s v="Wilman Kala"/>
        <s v="Blondel père et fils"/>
        <s v="Bon app'"/>
        <s v="Folies gourmandes"/>
        <s v="La maison d'Asie"/>
        <s v="France restauration"/>
        <s v="Vins et alcools Chevalier"/>
        <s v="Victuailles en stock"/>
        <s v="La corne d'abondance"/>
        <s v="Du monde entier"/>
        <s v="Spécialités du monde"/>
        <s v="Frankenversand"/>
        <s v="QUICK-Stop"/>
        <s v="Königlich Essen"/>
        <s v="Ottilies Käseladen"/>
        <s v="Blauer See Delikatessen"/>
        <s v="Lehmanns Marktstand"/>
        <s v="Alfreds Futterkiste"/>
        <s v="Die Wandernde Kuh"/>
        <s v="Drachenblut Delikatessen"/>
        <s v="Morgenstern Gesundkost"/>
        <s v="Toms Spezialitäten"/>
        <s v="Hungry Owl All-Night Grocers"/>
        <s v="Magazzini Alimentari Riuniti"/>
        <s v="Reggiani Caseifici"/>
        <s v="Franchi S.p.A."/>
        <s v="Tortuga Restaurante"/>
        <s v="Antonio Moreno Taquería"/>
        <s v="Ana Trujillo Emparedados y helados"/>
        <s v="Pericles Comidas clásicas"/>
        <s v="Centro comercial Moctezuma"/>
        <s v="Santé Gourmet"/>
        <s v="Wolski  Zajazd"/>
        <s v="Princesa Isabel Vinhos"/>
        <s v="Furia Bacalhau e Frutos do Mar"/>
        <s v="Godos Cocina Típica"/>
        <s v="Romero y tomillo"/>
        <s v="Galería del gastrónomo"/>
        <s v="Bólido Comidas preparadas"/>
        <s v="Folk och fä HB"/>
        <s v="Berglunds snabbköp"/>
        <s v="Chop-suey Chinese"/>
        <s v="Richter Supermarkt"/>
        <s v="Island Trading"/>
        <s v="Around the Horn"/>
        <s v="Seven Seas Imports"/>
        <s v="B's Beverages"/>
        <s v="Eastern Connection"/>
        <s v="Consolidated Holdings"/>
        <s v="North/South"/>
        <s v="White Clover Markets"/>
        <s v="Save-a-lot Markets"/>
        <s v="Split Rail Beer &amp; Ale"/>
        <s v="Rattlesnake Canyon Grocery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NO-Delicateses"/>
        <s v="HILARIÓN-Abastos"/>
        <s v="LILA-Supermercado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11">
        <s v="Margaret Peacock"/>
        <s v="Laura Callahan"/>
        <s v="Anne Dodsworth"/>
        <s v="Andrew Fuller"/>
        <s v="Nancy Davolio"/>
        <s v="Robert King"/>
        <s v="Michael Suyama"/>
        <s v="Janet Leverling"/>
        <s v="Steven Buchanan"/>
        <s v="Male" f="1"/>
        <s v="Female" f="1"/>
      </sharedItems>
    </cacheField>
    <cacheField name="ProductName" numFmtId="0" sqlType="-9">
      <sharedItems count="77">
        <s v="Konbu"/>
        <s v="Gumbär Gummibärchen"/>
        <s v="Geitost"/>
        <s v="Laughing Lumberjack Lager"/>
        <s v="Sir Rodney's Marmalade"/>
        <s v="Ipoh Coffee"/>
        <s v="Mascarpone Fabioli"/>
        <s v="Raclette Courdavault"/>
        <s v="Pavlova"/>
        <s v="Sirop d'érable"/>
        <s v="Côte de Blaye"/>
        <s v="Sir Rodney's Scones"/>
        <s v="Röd Kaviar"/>
        <s v="Gorgonzola Telino"/>
        <s v="Boston Crab Meat"/>
        <s v="Rhönbräu Klosterbier"/>
        <s v="Scottish Longbreads"/>
        <s v="Sasquatch Ale"/>
        <s v="Rössle Sauerkraut"/>
        <s v="Chef Anton's Gumbo Mix"/>
        <s v="Maxilaku"/>
        <s v="Spegesild"/>
        <s v="Ravioli Angelo"/>
        <s v="Jack's New England Clam Chowder"/>
        <s v="Manjimup Dried Apples"/>
        <s v="Uncle Bob's Organic Dried Pears"/>
        <s v="Mozzarella di Giovanni"/>
        <s v="Queso Cabrales"/>
        <s v="Lakkalikööri"/>
        <s v="Original Frankfurter grüne Soße"/>
        <s v="Steeleye Stout"/>
        <s v="Tofu"/>
        <s v="Vegie-spread"/>
        <s v="Guaraná Fantástica"/>
        <s v="Wimmers gute Semmelknödel"/>
        <s v="Chartreuse verte"/>
        <s v="Gustaf's Knäckebröd"/>
        <s v="Louisiana Fiery Hot Pepper Sauce"/>
        <s v="Gula Malacca"/>
        <s v="Queso Manchego La Pastora"/>
        <s v="Alice Mutton"/>
        <s v="Singaporean Hokkien Fried Mee"/>
        <s v="Ikura"/>
        <s v="Chocolade"/>
        <s v="Camembert Pierrot"/>
        <s v="Røgede sild"/>
        <s v="Chang"/>
        <s v="Tarte au sucre"/>
        <s v="Fløtemysost"/>
        <s v="Tunnbröd"/>
        <s v="Carnarvon Tigers"/>
        <s v="Gudbrandsdalsost"/>
        <s v="Pâté chinois"/>
        <s v="Aniseed Syrup"/>
        <s v="Longlife Tofu"/>
        <s v="Nord-Ost Matjeshering"/>
        <s v="Gnocchi di nonna Alice"/>
        <s v="Tourtière"/>
        <s v="Thüringer Rostbratwurst"/>
        <s v="Louisiana Hot Spiced Okra"/>
        <s v="Outback Lager"/>
        <s v="Valkoinen suklaa"/>
        <s v="Schoggi Schokolade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Inlagd Sill"/>
        <s v="Grandma's Boysenberry Spread"/>
        <s v="Perth Pasties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calculatedItems count="5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  <calculatedItem formula="Salesperson['Michael Suyama']+Salesperson['Andrew Fuller']+Salesperson['Robert King']+Salesperson['Steven Buchanan']">
      <pivotArea cacheIndex="1" outline="0" fieldPosition="0">
        <references count="1">
          <reference field="2" count="1">
            <x v="9"/>
          </reference>
        </references>
      </pivotArea>
    </calculatedItem>
    <calculatedItem formula="Salesperson['Anne Dodsworth']+Salesperson['Laura Callahan']+Salesperson['Janet Leverling']+Salesperson['Margaret Peacock']+Salesperson['Nancy Davolio']">
      <pivotArea cacheIndex="1" outline="0" fieldPosition="0">
        <references count="1">
          <reference field="2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 fieldListSortAscending="1">
  <location ref="B5:E10" firstHeaderRow="1" firstDataRow="2" firstDataCol="1" rowPageCount="1" colPageCount="1"/>
  <pivotFields count="5">
    <pivotField axis="axisPage" compact="0" outline="0" subtotalTop="0" showAll="0" includeNewItemsInFilter="1">
      <items count="90">
        <item x="39"/>
        <item x="50"/>
        <item x="49"/>
        <item x="66"/>
        <item x="62"/>
        <item x="37"/>
        <item x="23"/>
        <item x="60"/>
        <item x="24"/>
        <item x="16"/>
        <item x="68"/>
        <item x="2"/>
        <item x="52"/>
        <item x="63"/>
        <item x="12"/>
        <item x="70"/>
        <item x="40"/>
        <item x="41"/>
        <item x="31"/>
        <item x="69"/>
        <item x="3"/>
        <item x="11"/>
        <item x="25"/>
        <item x="61"/>
        <item x="27"/>
        <item x="47"/>
        <item x="33"/>
        <item x="56"/>
        <item x="59"/>
        <item x="57"/>
        <item x="13"/>
        <item x="76"/>
        <item x="88"/>
        <item x="7"/>
        <item x="86"/>
        <item x="79"/>
        <item x="44"/>
        <item x="65"/>
        <item x="35"/>
        <item x="30"/>
        <item x="26"/>
        <item x="18"/>
        <item x="80"/>
        <item x="38"/>
        <item x="77"/>
        <item x="87"/>
        <item x="85"/>
        <item x="78"/>
        <item x="45"/>
        <item x="6"/>
        <item x="17"/>
        <item x="42"/>
        <item x="71"/>
        <item x="0"/>
        <item x="81"/>
        <item x="36"/>
        <item x="51"/>
        <item x="4"/>
        <item x="55"/>
        <item x="8"/>
        <item x="10"/>
        <item x="34"/>
        <item x="1"/>
        <item x="75"/>
        <item x="46"/>
        <item x="9"/>
        <item x="64"/>
        <item x="58"/>
        <item x="53"/>
        <item x="73"/>
        <item x="67"/>
        <item x="20"/>
        <item x="32"/>
        <item x="74"/>
        <item x="5"/>
        <item x="82"/>
        <item x="84"/>
        <item x="43"/>
        <item x="48"/>
        <item x="15"/>
        <item x="83"/>
        <item x="19"/>
        <item x="29"/>
        <item x="28"/>
        <item x="21"/>
        <item x="14"/>
        <item x="72"/>
        <item x="22"/>
        <item x="54"/>
        <item t="default"/>
      </items>
    </pivotField>
    <pivotField name="Continent" axis="axisRow" compact="0" outline="0" subtotalTop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ubtotalTop="0" showAll="0" includeNewItemsInFilter="1">
      <items count="12">
        <item h="1" x="3"/>
        <item h="1" x="2"/>
        <item h="1" x="7"/>
        <item h="1" x="1"/>
        <item h="1" x="0"/>
        <item h="1" x="6"/>
        <item h="1" x="4"/>
        <item h="1" x="5"/>
        <item h="1" x="8"/>
        <item f="1" x="9"/>
        <item f="1" x="10"/>
        <item t="default"/>
      </items>
    </pivotField>
    <pivotField compact="0" outline="0" subtotalTop="0" showAll="0" includeNewItemsInFilter="1">
      <items count="78">
        <item x="40"/>
        <item x="53"/>
        <item x="14"/>
        <item x="44"/>
        <item x="50"/>
        <item x="65"/>
        <item x="46"/>
        <item x="35"/>
        <item x="66"/>
        <item x="19"/>
        <item x="43"/>
        <item x="10"/>
        <item x="64"/>
        <item x="67"/>
        <item x="48"/>
        <item x="2"/>
        <item x="75"/>
        <item x="56"/>
        <item x="13"/>
        <item x="71"/>
        <item x="76"/>
        <item x="33"/>
        <item x="51"/>
        <item x="38"/>
        <item x="1"/>
        <item x="36"/>
        <item x="42"/>
        <item x="70"/>
        <item x="5"/>
        <item x="23"/>
        <item x="0"/>
        <item x="28"/>
        <item x="3"/>
        <item x="54"/>
        <item x="37"/>
        <item x="59"/>
        <item x="24"/>
        <item x="6"/>
        <item x="20"/>
        <item x="74"/>
        <item x="26"/>
        <item x="55"/>
        <item x="69"/>
        <item x="63"/>
        <item x="29"/>
        <item x="60"/>
        <item x="52"/>
        <item x="8"/>
        <item x="72"/>
        <item x="27"/>
        <item x="39"/>
        <item x="7"/>
        <item x="22"/>
        <item x="15"/>
        <item x="12"/>
        <item x="45"/>
        <item x="18"/>
        <item x="17"/>
        <item x="62"/>
        <item x="16"/>
        <item x="41"/>
        <item x="4"/>
        <item x="11"/>
        <item x="9"/>
        <item x="21"/>
        <item x="30"/>
        <item x="47"/>
        <item x="68"/>
        <item x="58"/>
        <item x="31"/>
        <item x="57"/>
        <item x="49"/>
        <item x="25"/>
        <item x="61"/>
        <item x="32"/>
        <item x="34"/>
        <item x="73"/>
        <item t="default"/>
      </items>
    </pivotField>
    <pivotField dataField="1" compact="0" outline="0" subtotalTop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3">
    <i>
      <x v="9"/>
    </i>
    <i>
      <x v="10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 fieldListSortAscending="1">
  <location ref="B5:E10" firstHeaderRow="1" firstDataRow="2" firstDataCol="1" rowPageCount="1" colPageCount="1"/>
  <pivotFields count="5">
    <pivotField axis="axisPage" compact="0" outline="0" subtotalTop="0" showAll="0" includeNewItemsInFilter="1">
      <items count="90">
        <item x="39"/>
        <item x="50"/>
        <item x="49"/>
        <item x="66"/>
        <item x="62"/>
        <item x="37"/>
        <item x="23"/>
        <item x="60"/>
        <item x="24"/>
        <item x="16"/>
        <item x="68"/>
        <item x="2"/>
        <item x="52"/>
        <item x="63"/>
        <item x="12"/>
        <item x="70"/>
        <item x="40"/>
        <item x="41"/>
        <item x="31"/>
        <item x="69"/>
        <item x="3"/>
        <item x="11"/>
        <item x="25"/>
        <item x="61"/>
        <item x="27"/>
        <item x="47"/>
        <item x="33"/>
        <item x="56"/>
        <item x="59"/>
        <item x="57"/>
        <item x="13"/>
        <item x="76"/>
        <item x="88"/>
        <item x="7"/>
        <item x="86"/>
        <item x="79"/>
        <item x="44"/>
        <item x="65"/>
        <item x="35"/>
        <item x="30"/>
        <item x="26"/>
        <item x="18"/>
        <item x="80"/>
        <item x="38"/>
        <item x="77"/>
        <item x="87"/>
        <item x="85"/>
        <item x="78"/>
        <item x="45"/>
        <item x="6"/>
        <item x="17"/>
        <item x="42"/>
        <item x="71"/>
        <item x="0"/>
        <item x="81"/>
        <item x="36"/>
        <item x="51"/>
        <item x="4"/>
        <item x="55"/>
        <item x="8"/>
        <item x="10"/>
        <item x="34"/>
        <item x="1"/>
        <item x="75"/>
        <item x="46"/>
        <item x="9"/>
        <item x="64"/>
        <item x="58"/>
        <item x="53"/>
        <item x="73"/>
        <item x="67"/>
        <item x="20"/>
        <item x="32"/>
        <item x="74"/>
        <item x="5"/>
        <item x="82"/>
        <item x="84"/>
        <item x="43"/>
        <item x="48"/>
        <item x="15"/>
        <item x="83"/>
        <item x="19"/>
        <item x="29"/>
        <item x="28"/>
        <item x="21"/>
        <item x="14"/>
        <item x="72"/>
        <item x="22"/>
        <item x="54"/>
        <item t="default"/>
      </items>
    </pivotField>
    <pivotField name="Continent" axis="axisRow" compact="0" outline="0" subtotalTop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ubtotalTop="0" showAll="0" includeNewItemsInFilter="1">
      <items count="12">
        <item h="1" x="3"/>
        <item h="1" x="2"/>
        <item h="1" x="7"/>
        <item h="1" x="1"/>
        <item h="1" x="0"/>
        <item h="1" x="6"/>
        <item h="1" x="4"/>
        <item h="1" x="5"/>
        <item h="1" x="8"/>
        <item f="1" x="9"/>
        <item f="1" x="10"/>
        <item t="default"/>
      </items>
    </pivotField>
    <pivotField compact="0" outline="0" subtotalTop="0" showAll="0" includeNewItemsInFilter="1">
      <items count="78">
        <item x="40"/>
        <item x="53"/>
        <item x="14"/>
        <item x="44"/>
        <item x="50"/>
        <item x="65"/>
        <item x="46"/>
        <item x="35"/>
        <item x="66"/>
        <item x="19"/>
        <item x="43"/>
        <item x="10"/>
        <item x="64"/>
        <item x="67"/>
        <item x="48"/>
        <item x="2"/>
        <item x="75"/>
        <item x="56"/>
        <item x="13"/>
        <item x="71"/>
        <item x="76"/>
        <item x="33"/>
        <item x="51"/>
        <item x="38"/>
        <item x="1"/>
        <item x="36"/>
        <item x="42"/>
        <item x="70"/>
        <item x="5"/>
        <item x="23"/>
        <item x="0"/>
        <item x="28"/>
        <item x="3"/>
        <item x="54"/>
        <item x="37"/>
        <item x="59"/>
        <item x="24"/>
        <item x="6"/>
        <item x="20"/>
        <item x="74"/>
        <item x="26"/>
        <item x="55"/>
        <item x="69"/>
        <item x="63"/>
        <item x="29"/>
        <item x="60"/>
        <item x="52"/>
        <item x="8"/>
        <item x="72"/>
        <item x="27"/>
        <item x="39"/>
        <item x="7"/>
        <item x="22"/>
        <item x="15"/>
        <item x="12"/>
        <item x="45"/>
        <item x="18"/>
        <item x="17"/>
        <item x="62"/>
        <item x="16"/>
        <item x="41"/>
        <item x="4"/>
        <item x="11"/>
        <item x="9"/>
        <item x="21"/>
        <item x="30"/>
        <item x="47"/>
        <item x="68"/>
        <item x="58"/>
        <item x="31"/>
        <item x="57"/>
        <item x="49"/>
        <item x="25"/>
        <item x="61"/>
        <item x="32"/>
        <item x="34"/>
        <item x="73"/>
        <item t="default"/>
      </items>
    </pivotField>
    <pivotField dataField="1" compact="0" outline="0" subtotalTop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3">
    <i>
      <x v="9"/>
    </i>
    <i>
      <x v="10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 fieldListSortAscending="1">
  <location ref="B5:N10" firstHeaderRow="1" firstDataRow="2" firstDataCol="1" rowPageCount="1" colPageCount="1"/>
  <pivotFields count="5">
    <pivotField axis="axisPage" compact="0" outline="0" subtotalTop="0" showAll="0" includeNewItemsInFilter="1">
      <items count="90">
        <item x="39"/>
        <item x="50"/>
        <item x="49"/>
        <item x="66"/>
        <item x="62"/>
        <item x="37"/>
        <item x="23"/>
        <item x="60"/>
        <item x="24"/>
        <item x="16"/>
        <item x="68"/>
        <item x="2"/>
        <item x="52"/>
        <item x="63"/>
        <item x="12"/>
        <item x="70"/>
        <item x="40"/>
        <item x="41"/>
        <item x="31"/>
        <item x="69"/>
        <item x="3"/>
        <item x="11"/>
        <item x="25"/>
        <item x="61"/>
        <item x="27"/>
        <item x="47"/>
        <item x="33"/>
        <item x="56"/>
        <item x="59"/>
        <item x="57"/>
        <item x="13"/>
        <item x="76"/>
        <item x="88"/>
        <item x="7"/>
        <item x="86"/>
        <item x="79"/>
        <item x="44"/>
        <item x="65"/>
        <item x="35"/>
        <item x="30"/>
        <item x="26"/>
        <item x="18"/>
        <item x="80"/>
        <item x="38"/>
        <item x="77"/>
        <item x="87"/>
        <item x="85"/>
        <item x="78"/>
        <item x="45"/>
        <item x="6"/>
        <item x="17"/>
        <item x="42"/>
        <item x="71"/>
        <item x="0"/>
        <item x="81"/>
        <item x="36"/>
        <item x="51"/>
        <item x="4"/>
        <item x="55"/>
        <item x="8"/>
        <item x="10"/>
        <item x="34"/>
        <item x="1"/>
        <item x="75"/>
        <item x="46"/>
        <item x="9"/>
        <item x="64"/>
        <item x="58"/>
        <item x="53"/>
        <item x="73"/>
        <item x="67"/>
        <item x="20"/>
        <item x="32"/>
        <item x="74"/>
        <item x="5"/>
        <item x="82"/>
        <item x="84"/>
        <item x="43"/>
        <item x="48"/>
        <item x="15"/>
        <item x="83"/>
        <item x="19"/>
        <item x="29"/>
        <item x="28"/>
        <item x="21"/>
        <item x="14"/>
        <item x="72"/>
        <item x="22"/>
        <item x="54"/>
        <item t="default"/>
      </items>
    </pivotField>
    <pivotField name="Continent" axis="axisRow" compact="0" outline="0" subtotalTop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ubtotalTop="0" showAll="0" includeNewItemsInFilter="1">
      <items count="12">
        <item x="3"/>
        <item x="2"/>
        <item x="7"/>
        <item x="1"/>
        <item x="0"/>
        <item x="6"/>
        <item x="4"/>
        <item x="5"/>
        <item x="8"/>
        <item f="1" x="9"/>
        <item f="1" x="10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3:E10"/>
  <sheetViews>
    <sheetView tabSelected="1" workbookViewId="0">
      <selection activeCell="E2" sqref="E2"/>
    </sheetView>
  </sheetViews>
  <sheetFormatPr defaultRowHeight="14.4" x14ac:dyDescent="0.3"/>
  <cols>
    <col min="2" max="2" width="20.6640625" bestFit="1" customWidth="1"/>
    <col min="3" max="4" width="14" customWidth="1"/>
    <col min="5" max="13" width="11.109375" customWidth="1"/>
    <col min="14" max="14" width="11.109375" bestFit="1" customWidth="1"/>
  </cols>
  <sheetData>
    <row r="3" spans="2:5" x14ac:dyDescent="0.3">
      <c r="B3" s="5" t="s">
        <v>0</v>
      </c>
      <c r="C3" s="4" t="s">
        <v>1</v>
      </c>
    </row>
    <row r="5" spans="2:5" x14ac:dyDescent="0.3">
      <c r="B5" s="6" t="s">
        <v>2</v>
      </c>
      <c r="C5" s="6" t="s">
        <v>4</v>
      </c>
      <c r="D5" s="11"/>
      <c r="E5" s="12"/>
    </row>
    <row r="6" spans="2:5" x14ac:dyDescent="0.3">
      <c r="B6" s="6" t="s">
        <v>17</v>
      </c>
      <c r="C6" s="1" t="s">
        <v>18</v>
      </c>
      <c r="D6" s="13" t="s">
        <v>19</v>
      </c>
      <c r="E6" s="2" t="s">
        <v>3</v>
      </c>
    </row>
    <row r="7" spans="2:5" x14ac:dyDescent="0.3">
      <c r="B7" s="1" t="s">
        <v>14</v>
      </c>
      <c r="C7" s="14">
        <v>108723.5</v>
      </c>
      <c r="D7" s="15">
        <v>210639.43999999997</v>
      </c>
      <c r="E7" s="7">
        <v>319362.93999999994</v>
      </c>
    </row>
    <row r="8" spans="2:5" x14ac:dyDescent="0.3">
      <c r="B8" s="8" t="s">
        <v>15</v>
      </c>
      <c r="C8" s="16">
        <v>57487.1</v>
      </c>
      <c r="D8" s="17">
        <v>114368.41</v>
      </c>
      <c r="E8" s="9">
        <v>171855.51</v>
      </c>
    </row>
    <row r="9" spans="2:5" x14ac:dyDescent="0.3">
      <c r="B9" s="8" t="s">
        <v>16</v>
      </c>
      <c r="C9" s="16">
        <v>267600.75</v>
      </c>
      <c r="D9" s="17">
        <v>506973.67</v>
      </c>
      <c r="E9" s="9">
        <v>774574.41999999993</v>
      </c>
    </row>
    <row r="10" spans="2:5" x14ac:dyDescent="0.3">
      <c r="B10" s="3" t="s">
        <v>3</v>
      </c>
      <c r="C10" s="18">
        <v>433811.35</v>
      </c>
      <c r="D10" s="19">
        <v>831981.52</v>
      </c>
      <c r="E10" s="10">
        <v>1265792.8699999999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E10"/>
  <sheetViews>
    <sheetView workbookViewId="0">
      <selection activeCell="D15" sqref="D15"/>
    </sheetView>
  </sheetViews>
  <sheetFormatPr defaultRowHeight="14.4" x14ac:dyDescent="0.3"/>
  <cols>
    <col min="2" max="2" width="20.6640625" bestFit="1" customWidth="1"/>
    <col min="3" max="4" width="14" customWidth="1"/>
    <col min="5" max="13" width="11.109375" customWidth="1"/>
    <col min="14" max="14" width="11.109375" bestFit="1" customWidth="1"/>
  </cols>
  <sheetData>
    <row r="3" spans="2:5" x14ac:dyDescent="0.3">
      <c r="B3" s="5" t="s">
        <v>0</v>
      </c>
      <c r="C3" s="4" t="s">
        <v>1</v>
      </c>
    </row>
    <row r="5" spans="2:5" x14ac:dyDescent="0.3">
      <c r="B5" s="6" t="s">
        <v>2</v>
      </c>
      <c r="C5" s="6" t="s">
        <v>4</v>
      </c>
      <c r="D5" s="11"/>
      <c r="E5" s="12"/>
    </row>
    <row r="6" spans="2:5" x14ac:dyDescent="0.3">
      <c r="B6" s="6" t="s">
        <v>17</v>
      </c>
      <c r="C6" s="1" t="s">
        <v>18</v>
      </c>
      <c r="D6" s="13" t="s">
        <v>19</v>
      </c>
      <c r="E6" s="2" t="s">
        <v>3</v>
      </c>
    </row>
    <row r="7" spans="2:5" x14ac:dyDescent="0.3">
      <c r="B7" s="1" t="s">
        <v>14</v>
      </c>
      <c r="C7" s="14">
        <v>108723.5</v>
      </c>
      <c r="D7" s="15">
        <v>210639.43999999997</v>
      </c>
      <c r="E7" s="7">
        <v>319362.93999999994</v>
      </c>
    </row>
    <row r="8" spans="2:5" x14ac:dyDescent="0.3">
      <c r="B8" s="8" t="s">
        <v>15</v>
      </c>
      <c r="C8" s="16">
        <v>57487.1</v>
      </c>
      <c r="D8" s="17">
        <v>114368.41</v>
      </c>
      <c r="E8" s="9">
        <v>171855.51</v>
      </c>
    </row>
    <row r="9" spans="2:5" x14ac:dyDescent="0.3">
      <c r="B9" s="8" t="s">
        <v>16</v>
      </c>
      <c r="C9" s="16">
        <v>267600.75</v>
      </c>
      <c r="D9" s="17">
        <v>506973.67</v>
      </c>
      <c r="E9" s="9">
        <v>774574.41999999993</v>
      </c>
    </row>
    <row r="10" spans="2:5" x14ac:dyDescent="0.3">
      <c r="B10" s="3" t="s">
        <v>3</v>
      </c>
      <c r="C10" s="18">
        <v>433811.35</v>
      </c>
      <c r="D10" s="19">
        <v>831981.52</v>
      </c>
      <c r="E10" s="10">
        <v>1265792.8699999999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N10"/>
  <sheetViews>
    <sheetView topLeftCell="C1" workbookViewId="0">
      <selection activeCell="E9" sqref="E9"/>
    </sheetView>
  </sheetViews>
  <sheetFormatPr defaultRowHeight="14.4" x14ac:dyDescent="0.3"/>
  <cols>
    <col min="2" max="2" width="20.6640625" bestFit="1" customWidth="1"/>
    <col min="3" max="3" width="16.6640625" customWidth="1"/>
    <col min="4" max="13" width="16.6640625" bestFit="1" customWidth="1"/>
    <col min="14" max="14" width="11.109375" bestFit="1" customWidth="1"/>
  </cols>
  <sheetData>
    <row r="3" spans="2:14" x14ac:dyDescent="0.3">
      <c r="B3" s="5" t="s">
        <v>0</v>
      </c>
      <c r="C3" s="4" t="s">
        <v>1</v>
      </c>
    </row>
    <row r="5" spans="2:14" x14ac:dyDescent="0.3">
      <c r="B5" s="6" t="s">
        <v>2</v>
      </c>
      <c r="C5" s="6" t="s">
        <v>4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2"/>
    </row>
    <row r="6" spans="2:14" x14ac:dyDescent="0.3">
      <c r="B6" s="6" t="s">
        <v>17</v>
      </c>
      <c r="C6" s="1" t="s">
        <v>5</v>
      </c>
      <c r="D6" s="13" t="s">
        <v>6</v>
      </c>
      <c r="E6" s="13" t="s">
        <v>7</v>
      </c>
      <c r="F6" s="13" t="s">
        <v>8</v>
      </c>
      <c r="G6" s="13" t="s">
        <v>9</v>
      </c>
      <c r="H6" s="13" t="s">
        <v>10</v>
      </c>
      <c r="I6" s="13" t="s">
        <v>11</v>
      </c>
      <c r="J6" s="13" t="s">
        <v>12</v>
      </c>
      <c r="K6" s="13" t="s">
        <v>13</v>
      </c>
      <c r="L6" s="13" t="s">
        <v>18</v>
      </c>
      <c r="M6" s="13" t="s">
        <v>19</v>
      </c>
      <c r="N6" s="2" t="s">
        <v>3</v>
      </c>
    </row>
    <row r="7" spans="2:14" x14ac:dyDescent="0.3">
      <c r="B7" s="1" t="s">
        <v>14</v>
      </c>
      <c r="C7" s="14">
        <v>33279.5</v>
      </c>
      <c r="D7" s="15">
        <v>18191.509999999998</v>
      </c>
      <c r="E7" s="15">
        <v>48798.090000000004</v>
      </c>
      <c r="F7" s="15">
        <v>28022.679999999997</v>
      </c>
      <c r="G7" s="15">
        <v>57916.979999999989</v>
      </c>
      <c r="H7" s="15">
        <v>21229.78</v>
      </c>
      <c r="I7" s="15">
        <v>57710.179999999986</v>
      </c>
      <c r="J7" s="15">
        <v>37793.070000000007</v>
      </c>
      <c r="K7" s="15">
        <v>16421.149999999998</v>
      </c>
      <c r="L7" s="15">
        <v>108723.5</v>
      </c>
      <c r="M7" s="15">
        <v>210639.43999999997</v>
      </c>
      <c r="N7" s="7">
        <v>638725.88</v>
      </c>
    </row>
    <row r="8" spans="2:14" x14ac:dyDescent="0.3">
      <c r="B8" s="8" t="s">
        <v>15</v>
      </c>
      <c r="C8" s="16">
        <v>13428.51</v>
      </c>
      <c r="D8" s="17">
        <v>3232.5</v>
      </c>
      <c r="E8" s="17">
        <v>20758.16</v>
      </c>
      <c r="F8" s="17">
        <v>23769.379999999997</v>
      </c>
      <c r="G8" s="17">
        <v>27209.919999999998</v>
      </c>
      <c r="H8" s="17">
        <v>9830.99</v>
      </c>
      <c r="I8" s="17">
        <v>39398.450000000004</v>
      </c>
      <c r="J8" s="17">
        <v>14911.7</v>
      </c>
      <c r="K8" s="17">
        <v>19315.900000000001</v>
      </c>
      <c r="L8" s="17">
        <v>57487.1</v>
      </c>
      <c r="M8" s="17">
        <v>114368.41</v>
      </c>
      <c r="N8" s="9">
        <v>343711.02</v>
      </c>
    </row>
    <row r="9" spans="2:14" x14ac:dyDescent="0.3">
      <c r="B9" s="8" t="s">
        <v>16</v>
      </c>
      <c r="C9" s="16">
        <v>119829.74</v>
      </c>
      <c r="D9" s="17">
        <v>55884.030000000006</v>
      </c>
      <c r="E9" s="17">
        <v>133256.56999999998</v>
      </c>
      <c r="F9" s="17">
        <v>75070.210000000021</v>
      </c>
      <c r="G9" s="17">
        <v>147763.93</v>
      </c>
      <c r="H9" s="17">
        <v>42852.360000000008</v>
      </c>
      <c r="I9" s="17">
        <v>94998.930000000008</v>
      </c>
      <c r="J9" s="17">
        <v>71863.450000000012</v>
      </c>
      <c r="K9" s="17">
        <v>33055.199999999997</v>
      </c>
      <c r="L9" s="17">
        <v>267600.75</v>
      </c>
      <c r="M9" s="17">
        <v>506973.67</v>
      </c>
      <c r="N9" s="9">
        <v>1549148.8399999999</v>
      </c>
    </row>
    <row r="10" spans="2:14" x14ac:dyDescent="0.3">
      <c r="B10" s="3" t="s">
        <v>3</v>
      </c>
      <c r="C10" s="18">
        <v>166537.75</v>
      </c>
      <c r="D10" s="19">
        <v>77308.040000000008</v>
      </c>
      <c r="E10" s="19">
        <v>202812.81999999998</v>
      </c>
      <c r="F10" s="19">
        <v>126862.27000000002</v>
      </c>
      <c r="G10" s="19">
        <v>232890.83</v>
      </c>
      <c r="H10" s="19">
        <v>73913.13</v>
      </c>
      <c r="I10" s="19">
        <v>192107.56</v>
      </c>
      <c r="J10" s="19">
        <v>124568.22000000002</v>
      </c>
      <c r="K10" s="19">
        <v>68792.25</v>
      </c>
      <c r="L10" s="19">
        <v>433811.35</v>
      </c>
      <c r="M10" s="19">
        <v>831981.52</v>
      </c>
      <c r="N10" s="10">
        <v>2531585.7399999998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8" sqref="H8"/>
    </sheetView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G9" sqref="G9"/>
    </sheetView>
  </sheetViews>
  <sheetFormatPr defaultRowHeight="14.4" x14ac:dyDescent="0.3"/>
  <sheetData>
    <row r="1" spans="1:2" x14ac:dyDescent="0.3">
      <c r="A1" t="s">
        <v>14</v>
      </c>
      <c r="B1" s="20" t="s">
        <v>20</v>
      </c>
    </row>
    <row r="2" spans="1:2" x14ac:dyDescent="0.3">
      <c r="A2" t="s">
        <v>15</v>
      </c>
      <c r="B2" s="20" t="s">
        <v>21</v>
      </c>
    </row>
    <row r="3" spans="1:2" x14ac:dyDescent="0.3">
      <c r="A3" t="s">
        <v>16</v>
      </c>
      <c r="B3" s="20" t="s">
        <v>23</v>
      </c>
    </row>
    <row r="4" spans="1:2" x14ac:dyDescent="0.3">
      <c r="A4" t="s">
        <v>18</v>
      </c>
      <c r="B4" s="20" t="s">
        <v>22</v>
      </c>
    </row>
    <row r="5" spans="1:2" x14ac:dyDescent="0.3">
      <c r="A5" t="s">
        <v>19</v>
      </c>
      <c r="B5" s="20" t="s">
        <v>24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Sheet5</vt:lpstr>
      <vt:lpstr>Sheet6</vt:lpstr>
      <vt:lpstr>Sheet4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2014-03-02T02:42:38Z</dcterms:created>
  <dcterms:modified xsi:type="dcterms:W3CDTF">2014-03-02T02:46:36Z</dcterms:modified>
</cp:coreProperties>
</file>