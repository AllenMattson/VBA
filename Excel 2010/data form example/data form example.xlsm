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2\"/>
    </mc:Choice>
  </mc:AlternateContent>
  <xr:revisionPtr revIDLastSave="0" documentId="13_ncr:1_{2916D532-893B-4E70-A229-CE119ADC50A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_xlnm._FilterDatabase" localSheetId="0" hidden="1">Sheet1!$B$1:$I$126</definedName>
  </definedNames>
  <calcPr calcId="179017"/>
  <webPublishing codePage="1252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2" i="1"/>
</calcChain>
</file>

<file path=xl/sharedStrings.xml><?xml version="1.0" encoding="utf-8"?>
<sst xmlns="http://schemas.openxmlformats.org/spreadsheetml/2006/main" count="386" uniqueCount="30">
  <si>
    <t xml:space="preserve">Single Family </t>
  </si>
  <si>
    <t>Area</t>
  </si>
  <si>
    <t>Type</t>
  </si>
  <si>
    <t>Baths</t>
  </si>
  <si>
    <t>Condo</t>
  </si>
  <si>
    <t>Central</t>
  </si>
  <si>
    <t>N. County</t>
  </si>
  <si>
    <t>Pool</t>
  </si>
  <si>
    <t>S. County</t>
  </si>
  <si>
    <t>Date Listed</t>
  </si>
  <si>
    <t>SqFt</t>
  </si>
  <si>
    <t>Bedrooms</t>
  </si>
  <si>
    <t>List Price</t>
  </si>
  <si>
    <t>Agent</t>
  </si>
  <si>
    <t>Barnes</t>
  </si>
  <si>
    <t>Kelly</t>
  </si>
  <si>
    <t>Robinson</t>
  </si>
  <si>
    <t>Romero</t>
  </si>
  <si>
    <t>Chung</t>
  </si>
  <si>
    <t>Randolph</t>
  </si>
  <si>
    <t>Shasta</t>
  </si>
  <si>
    <t>Lang</t>
  </si>
  <si>
    <t>Peterson</t>
  </si>
  <si>
    <t>Bennet</t>
  </si>
  <si>
    <t>Adams</t>
  </si>
  <si>
    <t>Jenkins</t>
  </si>
  <si>
    <t>Daily</t>
  </si>
  <si>
    <t>Hamilton</t>
  </si>
  <si>
    <t>Sold</t>
  </si>
  <si>
    <t>Per Sq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</si>
</sst>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6" formatCode="&quot;$&quot;#,##0_);[Red]\(&quot;$&quot;#,##0\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Fill="1" applyBorder="1"/>
    <xf numFmtId="14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/>
    <xf numFmtId="3" fontId="2" fillId="0" borderId="0" xfId="0" applyNumberFormat="1" applyFont="1" applyFill="1" applyBorder="1" applyAlignment="1">
      <alignment horizontal="center"/>
    </xf>
    <xf numFmtId="6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/>
    <xf numFmtId="6" fontId="2" fillId="0" borderId="0" xfId="0" applyNumberFormat="1" applyFont="1" applyFill="1" applyBorder="1"/>
    <xf numFmtId="0" fontId="1" fillId="0" borderId="0" xfId="0" applyFont="1" applyFill="1" applyBorder="1"/>
    <xf numFmtId="164" fontId="3" fillId="0" borderId="0" xfId="0" applyNumberFormat="1" applyFont="1" applyFill="1" applyBorder="1"/>
    <xf numFmtId="0" fontId="4" fillId="0" borderId="0" xfId="0" applyFont="1" applyFill="1" applyBorder="1"/>
    <xf numFmtId="14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26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5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1" defaultTableStyle="TableStyleMedium9" defaultPivotStyle="PivotStyleLight16">
    <tableStyle name="MySqlDefault" pivot="0" table="0" count="2" xr9:uid="{29C8D26B-5841-4713-8474-DA2794696E07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114300</xdr:rowOff>
        </xdr:from>
        <xdr:to>
          <xdr:col>12</xdr:col>
          <xdr:colOff>457200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Data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A1:K126" headerRowDxfId="25" dataDxfId="24">
  <autoFilter ref="A1:K126" xr:uid="{00000000-0009-0000-0100-000002000000}"/>
  <sortState ref="A9:J120">
    <sortCondition descending="1" ref="D1:D126"/>
  </sortState>
  <tableColumns count="11">
    <tableColumn id="1" xr3:uid="{00000000-0010-0000-0000-000001000000}" name="Agent" totalsRowLabel="Total" dataDxfId="23" totalsRowDxfId="22"/>
    <tableColumn id="2" xr3:uid="{00000000-0010-0000-0000-000002000000}" name="Date Listed" dataDxfId="21" totalsRowDxfId="20"/>
    <tableColumn id="3" xr3:uid="{00000000-0010-0000-0000-000003000000}" name="Area" dataDxfId="19" totalsRowDxfId="18"/>
    <tableColumn id="4" xr3:uid="{00000000-0010-0000-0000-000004000000}" name="List Price" totalsRowFunction="average" dataDxfId="17" totalsRowDxfId="16"/>
    <tableColumn id="5" xr3:uid="{00000000-0010-0000-0000-000005000000}" name="Bedrooms" totalsRowFunction="average" dataDxfId="15" totalsRowDxfId="14"/>
    <tableColumn id="6" xr3:uid="{00000000-0010-0000-0000-000006000000}" name="Baths" totalsRowFunction="average" dataDxfId="13" totalsRowDxfId="12"/>
    <tableColumn id="7" xr3:uid="{00000000-0010-0000-0000-000007000000}" name="SqFt" dataDxfId="11" totalsRowDxfId="10"/>
    <tableColumn id="8" xr3:uid="{00000000-0010-0000-0000-000008000000}" name="Type" dataDxfId="9" totalsRowDxfId="8"/>
    <tableColumn id="9" xr3:uid="{00000000-0010-0000-0000-000009000000}" name="Pool" dataDxfId="7" totalsRowDxfId="6"/>
    <tableColumn id="10" xr3:uid="{00000000-0010-0000-0000-00000A000000}" name="Sold" dataDxfId="5" totalsRowDxfId="4"/>
    <tableColumn id="11" xr3:uid="{00000000-0010-0000-0000-00000B000000}" name="Per Sq Ft" dataDxfId="3" totalsRowDxfId="2">
      <calculatedColumnFormula>Table1[List Price]/Table1[SqFt]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62"/>
  <sheetViews>
    <sheetView tabSelected="1" zoomScaleNormal="100" workbookViewId="0"/>
  </sheetViews>
  <sheetFormatPr defaultRowHeight="15" x14ac:dyDescent="0.25"/>
  <cols>
    <col min="1" max="1" width="13.7109375" customWidth="1"/>
    <col min="2" max="2" width="17.28515625" customWidth="1"/>
    <col min="3" max="3" width="13.5703125" customWidth="1"/>
    <col min="4" max="4" width="14.140625" customWidth="1"/>
    <col min="5" max="5" width="12" customWidth="1"/>
    <col min="6" max="6" width="8" customWidth="1"/>
    <col min="7" max="7" width="8.42578125" customWidth="1"/>
    <col min="8" max="8" width="14" customWidth="1"/>
    <col min="9" max="9" width="8.42578125" customWidth="1"/>
    <col min="10" max="10" width="7.42578125" bestFit="1" customWidth="1"/>
    <col min="11" max="11" width="13.140625" customWidth="1"/>
    <col min="12" max="12" width="10.140625" customWidth="1"/>
    <col min="16" max="16" width="11.5703125" bestFit="1" customWidth="1"/>
  </cols>
  <sheetData>
    <row r="1" spans="1:12" ht="24" customHeight="1" x14ac:dyDescent="0.25">
      <c r="A1" s="9" t="s">
        <v>13</v>
      </c>
      <c r="B1" s="9" t="s">
        <v>9</v>
      </c>
      <c r="C1" s="9" t="s">
        <v>1</v>
      </c>
      <c r="D1" s="9" t="s">
        <v>12</v>
      </c>
      <c r="E1" s="9" t="s">
        <v>11</v>
      </c>
      <c r="F1" s="9" t="s">
        <v>3</v>
      </c>
      <c r="G1" s="9" t="s">
        <v>10</v>
      </c>
      <c r="H1" s="9" t="s">
        <v>2</v>
      </c>
      <c r="I1" s="9" t="s">
        <v>7</v>
      </c>
      <c r="J1" s="9" t="s">
        <v>28</v>
      </c>
      <c r="K1" s="11" t="s">
        <v>29</v>
      </c>
      <c r="L1" s="1"/>
    </row>
    <row r="2" spans="1:12" x14ac:dyDescent="0.25">
      <c r="A2" s="2" t="s">
        <v>24</v>
      </c>
      <c r="B2" s="12">
        <v>40114</v>
      </c>
      <c r="C2" s="3" t="s">
        <v>5</v>
      </c>
      <c r="D2" s="4">
        <v>199000</v>
      </c>
      <c r="E2" s="1">
        <v>3</v>
      </c>
      <c r="F2" s="1">
        <v>2.5</v>
      </c>
      <c r="G2" s="5">
        <v>1510</v>
      </c>
      <c r="H2" s="1" t="s">
        <v>4</v>
      </c>
      <c r="I2" s="1" t="b">
        <v>0</v>
      </c>
      <c r="J2" s="1" t="b">
        <v>0</v>
      </c>
      <c r="K2" s="10">
        <f>Table1[List Price]/Table1[SqFt]</f>
        <v>131.78807947019868</v>
      </c>
      <c r="L2" s="1"/>
    </row>
    <row r="3" spans="1:12" x14ac:dyDescent="0.25">
      <c r="A3" s="2" t="s">
        <v>24</v>
      </c>
      <c r="B3" s="12">
        <v>40063</v>
      </c>
      <c r="C3" s="6" t="s">
        <v>5</v>
      </c>
      <c r="D3" s="4">
        <v>214500</v>
      </c>
      <c r="E3" s="1">
        <v>4</v>
      </c>
      <c r="F3" s="1">
        <v>2.5</v>
      </c>
      <c r="G3" s="5">
        <v>1862</v>
      </c>
      <c r="H3" s="1" t="s">
        <v>0</v>
      </c>
      <c r="I3" s="1" t="b">
        <v>1</v>
      </c>
      <c r="J3" s="1" t="b">
        <v>0</v>
      </c>
      <c r="K3" s="10">
        <f>Table1[List Price]/Table1[SqFt]</f>
        <v>115.19871106337271</v>
      </c>
      <c r="L3" s="1"/>
    </row>
    <row r="4" spans="1:12" x14ac:dyDescent="0.25">
      <c r="A4" s="2" t="s">
        <v>24</v>
      </c>
      <c r="B4" s="12">
        <v>39950</v>
      </c>
      <c r="C4" s="3" t="s">
        <v>5</v>
      </c>
      <c r="D4" s="4">
        <v>265000</v>
      </c>
      <c r="E4" s="1">
        <v>4</v>
      </c>
      <c r="F4" s="1">
        <v>3</v>
      </c>
      <c r="G4" s="5">
        <v>1905</v>
      </c>
      <c r="H4" s="1" t="s">
        <v>0</v>
      </c>
      <c r="I4" s="1" t="b">
        <v>0</v>
      </c>
      <c r="J4" s="1" t="b">
        <v>0</v>
      </c>
      <c r="K4" s="10">
        <f>Table1[List Price]/Table1[SqFt]</f>
        <v>139.10761154855643</v>
      </c>
      <c r="L4" s="1"/>
    </row>
    <row r="5" spans="1:12" x14ac:dyDescent="0.25">
      <c r="A5" s="2" t="s">
        <v>24</v>
      </c>
      <c r="B5" s="12">
        <v>40032</v>
      </c>
      <c r="C5" s="3" t="s">
        <v>5</v>
      </c>
      <c r="D5" s="4">
        <v>268500</v>
      </c>
      <c r="E5" s="1">
        <v>4</v>
      </c>
      <c r="F5" s="1">
        <v>2.5</v>
      </c>
      <c r="G5" s="5">
        <v>1911</v>
      </c>
      <c r="H5" s="1" t="s">
        <v>0</v>
      </c>
      <c r="I5" s="1" t="b">
        <v>0</v>
      </c>
      <c r="J5" s="1" t="b">
        <v>0</v>
      </c>
      <c r="K5" s="10">
        <f>Table1[List Price]/Table1[SqFt]</f>
        <v>140.50235478806908</v>
      </c>
      <c r="L5" s="1"/>
    </row>
    <row r="6" spans="1:12" x14ac:dyDescent="0.25">
      <c r="A6" s="2" t="s">
        <v>24</v>
      </c>
      <c r="B6" s="12">
        <v>39869</v>
      </c>
      <c r="C6" s="3" t="s">
        <v>5</v>
      </c>
      <c r="D6" s="4">
        <v>273500</v>
      </c>
      <c r="E6" s="1">
        <v>2</v>
      </c>
      <c r="F6" s="1">
        <v>2</v>
      </c>
      <c r="G6" s="5">
        <v>1552</v>
      </c>
      <c r="H6" s="1" t="s">
        <v>0</v>
      </c>
      <c r="I6" s="1" t="b">
        <v>1</v>
      </c>
      <c r="J6" s="1" t="b">
        <v>1</v>
      </c>
      <c r="K6" s="10">
        <f>Table1[List Price]/Table1[SqFt]</f>
        <v>176.2242268041237</v>
      </c>
      <c r="L6" s="1"/>
    </row>
    <row r="7" spans="1:12" x14ac:dyDescent="0.25">
      <c r="A7" s="2" t="s">
        <v>24</v>
      </c>
      <c r="B7" s="12">
        <v>40045</v>
      </c>
      <c r="C7" s="3" t="s">
        <v>5</v>
      </c>
      <c r="D7" s="4">
        <v>309950</v>
      </c>
      <c r="E7" s="1">
        <v>4</v>
      </c>
      <c r="F7" s="1">
        <v>3</v>
      </c>
      <c r="G7" s="5">
        <v>2800</v>
      </c>
      <c r="H7" s="1" t="s">
        <v>0</v>
      </c>
      <c r="I7" s="1" t="b">
        <v>1</v>
      </c>
      <c r="J7" s="1" t="b">
        <v>0</v>
      </c>
      <c r="K7" s="10">
        <f>Table1[List Price]/Table1[SqFt]</f>
        <v>110.69642857142857</v>
      </c>
      <c r="L7" s="1"/>
    </row>
    <row r="8" spans="1:12" x14ac:dyDescent="0.25">
      <c r="A8" s="2" t="s">
        <v>24</v>
      </c>
      <c r="B8" s="12">
        <v>39847</v>
      </c>
      <c r="C8" s="3" t="s">
        <v>5</v>
      </c>
      <c r="D8" s="4">
        <v>325000</v>
      </c>
      <c r="E8" s="1">
        <v>3</v>
      </c>
      <c r="F8" s="1">
        <v>2.5</v>
      </c>
      <c r="G8" s="5">
        <v>1752</v>
      </c>
      <c r="H8" s="1" t="s">
        <v>0</v>
      </c>
      <c r="I8" s="1" t="b">
        <v>0</v>
      </c>
      <c r="J8" s="1" t="b">
        <v>1</v>
      </c>
      <c r="K8" s="10">
        <f>Table1[List Price]/Table1[SqFt]</f>
        <v>185.50228310502283</v>
      </c>
      <c r="L8" s="1"/>
    </row>
    <row r="9" spans="1:12" x14ac:dyDescent="0.25">
      <c r="A9" s="2" t="s">
        <v>25</v>
      </c>
      <c r="B9" s="12">
        <v>39861</v>
      </c>
      <c r="C9" s="3" t="s">
        <v>6</v>
      </c>
      <c r="D9" s="4">
        <v>1200500</v>
      </c>
      <c r="E9" s="1">
        <v>5</v>
      </c>
      <c r="F9" s="1">
        <v>5</v>
      </c>
      <c r="G9" s="5">
        <v>4696</v>
      </c>
      <c r="H9" s="1" t="s">
        <v>0</v>
      </c>
      <c r="I9" s="1" t="b">
        <v>1</v>
      </c>
      <c r="J9" s="1" t="b">
        <v>0</v>
      </c>
      <c r="K9" s="10">
        <f>Table1[List Price]/Table1[SqFt]</f>
        <v>255.64310051107324</v>
      </c>
      <c r="L9" s="1"/>
    </row>
    <row r="10" spans="1:12" x14ac:dyDescent="0.25">
      <c r="A10" s="2" t="s">
        <v>17</v>
      </c>
      <c r="B10" s="12">
        <v>39926</v>
      </c>
      <c r="C10" s="3" t="s">
        <v>6</v>
      </c>
      <c r="D10" s="4">
        <v>799000</v>
      </c>
      <c r="E10" s="1">
        <v>6</v>
      </c>
      <c r="F10" s="1">
        <v>5</v>
      </c>
      <c r="G10" s="5">
        <v>4800</v>
      </c>
      <c r="H10" s="1" t="s">
        <v>0</v>
      </c>
      <c r="I10" s="1" t="b">
        <v>0</v>
      </c>
      <c r="J10" s="1" t="b">
        <v>0</v>
      </c>
      <c r="K10" s="10">
        <f>Table1[List Price]/Table1[SqFt]</f>
        <v>166.45833333333334</v>
      </c>
      <c r="L10" s="1"/>
    </row>
    <row r="11" spans="1:12" x14ac:dyDescent="0.25">
      <c r="A11" s="2" t="s">
        <v>27</v>
      </c>
      <c r="B11" s="12">
        <v>39887</v>
      </c>
      <c r="C11" s="3" t="s">
        <v>6</v>
      </c>
      <c r="D11" s="4">
        <v>425900</v>
      </c>
      <c r="E11" s="1">
        <v>5</v>
      </c>
      <c r="F11" s="1">
        <v>3</v>
      </c>
      <c r="G11" s="5">
        <v>2414</v>
      </c>
      <c r="H11" s="1" t="s">
        <v>0</v>
      </c>
      <c r="I11" s="1" t="b">
        <v>1</v>
      </c>
      <c r="J11" s="1" t="b">
        <v>0</v>
      </c>
      <c r="K11" s="10">
        <f>Table1[List Price]/Table1[SqFt]</f>
        <v>176.42916321458162</v>
      </c>
      <c r="L11" s="2"/>
    </row>
    <row r="12" spans="1:12" x14ac:dyDescent="0.25">
      <c r="A12" s="2" t="s">
        <v>19</v>
      </c>
      <c r="B12" s="12">
        <v>39946</v>
      </c>
      <c r="C12" s="3" t="s">
        <v>6</v>
      </c>
      <c r="D12" s="4">
        <v>405000</v>
      </c>
      <c r="E12" s="1">
        <v>2</v>
      </c>
      <c r="F12" s="1">
        <v>3</v>
      </c>
      <c r="G12" s="5">
        <v>2444</v>
      </c>
      <c r="H12" s="1" t="s">
        <v>0</v>
      </c>
      <c r="I12" s="1" t="b">
        <v>1</v>
      </c>
      <c r="J12" s="1" t="b">
        <v>1</v>
      </c>
      <c r="K12" s="10">
        <f>Table1[List Price]/Table1[SqFt]</f>
        <v>165.71194762684124</v>
      </c>
      <c r="L12" s="1"/>
    </row>
    <row r="13" spans="1:12" x14ac:dyDescent="0.25">
      <c r="A13" s="2" t="s">
        <v>24</v>
      </c>
      <c r="B13" s="12">
        <v>39943</v>
      </c>
      <c r="C13" s="6" t="s">
        <v>8</v>
      </c>
      <c r="D13" s="4">
        <v>208750</v>
      </c>
      <c r="E13" s="1">
        <v>4</v>
      </c>
      <c r="F13" s="1">
        <v>3</v>
      </c>
      <c r="G13" s="5">
        <v>2207</v>
      </c>
      <c r="H13" s="1" t="s">
        <v>0</v>
      </c>
      <c r="I13" s="1" t="b">
        <v>1</v>
      </c>
      <c r="J13" s="1" t="b">
        <v>1</v>
      </c>
      <c r="K13" s="10">
        <f>Table1[List Price]/Table1[SqFt]</f>
        <v>94.585410058903491</v>
      </c>
      <c r="L13" s="1"/>
    </row>
    <row r="14" spans="1:12" x14ac:dyDescent="0.25">
      <c r="A14" s="2" t="s">
        <v>20</v>
      </c>
      <c r="B14" s="12">
        <v>39915</v>
      </c>
      <c r="C14" s="3" t="s">
        <v>6</v>
      </c>
      <c r="D14" s="4">
        <v>398000</v>
      </c>
      <c r="E14" s="1">
        <v>4</v>
      </c>
      <c r="F14" s="1">
        <v>2.5</v>
      </c>
      <c r="G14" s="5">
        <v>2620</v>
      </c>
      <c r="H14" s="1" t="s">
        <v>0</v>
      </c>
      <c r="I14" s="1" t="b">
        <v>0</v>
      </c>
      <c r="J14" s="1" t="b">
        <v>0</v>
      </c>
      <c r="K14" s="10">
        <f>Table1[List Price]/Table1[SqFt]</f>
        <v>151.90839694656489</v>
      </c>
      <c r="L14" s="1"/>
    </row>
    <row r="15" spans="1:12" x14ac:dyDescent="0.25">
      <c r="A15" s="2" t="s">
        <v>15</v>
      </c>
      <c r="B15" s="12">
        <v>39992</v>
      </c>
      <c r="C15" s="3" t="s">
        <v>6</v>
      </c>
      <c r="D15" s="4">
        <v>389500</v>
      </c>
      <c r="E15" s="1">
        <v>4</v>
      </c>
      <c r="F15" s="1">
        <v>2</v>
      </c>
      <c r="G15" s="5">
        <v>1971</v>
      </c>
      <c r="H15" s="1" t="s">
        <v>0</v>
      </c>
      <c r="I15" s="1" t="b">
        <v>0</v>
      </c>
      <c r="J15" s="1" t="b">
        <v>0</v>
      </c>
      <c r="K15" s="10">
        <f>Table1[List Price]/Table1[SqFt]</f>
        <v>197.6154236428209</v>
      </c>
      <c r="L15" s="1"/>
    </row>
    <row r="16" spans="1:12" x14ac:dyDescent="0.25">
      <c r="A16" s="2" t="s">
        <v>20</v>
      </c>
      <c r="B16" s="12">
        <v>40061</v>
      </c>
      <c r="C16" s="3" t="s">
        <v>6</v>
      </c>
      <c r="D16" s="4">
        <v>389000</v>
      </c>
      <c r="E16" s="1">
        <v>4</v>
      </c>
      <c r="F16" s="1">
        <v>3</v>
      </c>
      <c r="G16" s="5">
        <v>3109</v>
      </c>
      <c r="H16" s="1" t="s">
        <v>0</v>
      </c>
      <c r="I16" s="1" t="b">
        <v>0</v>
      </c>
      <c r="J16" s="1" t="b">
        <v>0</v>
      </c>
      <c r="K16" s="10">
        <f>Table1[List Price]/Table1[SqFt]</f>
        <v>125.12061756191702</v>
      </c>
      <c r="L16" s="1"/>
    </row>
    <row r="17" spans="1:12" x14ac:dyDescent="0.25">
      <c r="A17" s="2" t="s">
        <v>24</v>
      </c>
      <c r="B17" s="12">
        <v>39989</v>
      </c>
      <c r="C17" s="3" t="s">
        <v>6</v>
      </c>
      <c r="D17" s="4">
        <v>379900</v>
      </c>
      <c r="E17" s="1">
        <v>3</v>
      </c>
      <c r="F17" s="1">
        <v>2.5</v>
      </c>
      <c r="G17" s="5">
        <v>2468</v>
      </c>
      <c r="H17" s="1" t="s">
        <v>4</v>
      </c>
      <c r="I17" s="1" t="b">
        <v>0</v>
      </c>
      <c r="J17" s="1" t="b">
        <v>0</v>
      </c>
      <c r="K17" s="10">
        <f>Table1[List Price]/Table1[SqFt]</f>
        <v>153.93030794165315</v>
      </c>
      <c r="L17" s="1"/>
    </row>
    <row r="18" spans="1:12" x14ac:dyDescent="0.25">
      <c r="A18" s="2" t="s">
        <v>24</v>
      </c>
      <c r="B18" s="12">
        <v>39871</v>
      </c>
      <c r="C18" s="3" t="s">
        <v>6</v>
      </c>
      <c r="D18" s="4">
        <v>379000</v>
      </c>
      <c r="E18" s="1">
        <v>3</v>
      </c>
      <c r="F18" s="1">
        <v>3</v>
      </c>
      <c r="G18" s="5">
        <v>2354</v>
      </c>
      <c r="H18" s="1" t="s">
        <v>4</v>
      </c>
      <c r="I18" s="1" t="b">
        <v>0</v>
      </c>
      <c r="J18" s="1" t="b">
        <v>1</v>
      </c>
      <c r="K18" s="10">
        <f>Table1[List Price]/Table1[SqFt]</f>
        <v>161.00254885301615</v>
      </c>
      <c r="L18" s="7"/>
    </row>
    <row r="19" spans="1:12" x14ac:dyDescent="0.25">
      <c r="A19" s="2" t="s">
        <v>16</v>
      </c>
      <c r="B19" s="12">
        <v>39921</v>
      </c>
      <c r="C19" s="3" t="s">
        <v>6</v>
      </c>
      <c r="D19" s="4">
        <v>379000</v>
      </c>
      <c r="E19" s="1">
        <v>4</v>
      </c>
      <c r="F19" s="1">
        <v>3</v>
      </c>
      <c r="G19" s="5">
        <v>3000</v>
      </c>
      <c r="H19" s="1" t="s">
        <v>0</v>
      </c>
      <c r="I19" s="1" t="b">
        <v>0</v>
      </c>
      <c r="J19" s="1" t="b">
        <v>1</v>
      </c>
      <c r="K19" s="10">
        <f>Table1[List Price]/Table1[SqFt]</f>
        <v>126.33333333333333</v>
      </c>
      <c r="L19" s="2"/>
    </row>
    <row r="20" spans="1:12" x14ac:dyDescent="0.25">
      <c r="A20" s="2" t="s">
        <v>14</v>
      </c>
      <c r="B20" s="12">
        <v>40009</v>
      </c>
      <c r="C20" s="3" t="s">
        <v>8</v>
      </c>
      <c r="D20" s="4">
        <v>208750</v>
      </c>
      <c r="E20" s="1">
        <v>4</v>
      </c>
      <c r="F20" s="1">
        <v>2</v>
      </c>
      <c r="G20" s="5">
        <v>1800</v>
      </c>
      <c r="H20" s="1" t="s">
        <v>0</v>
      </c>
      <c r="I20" s="1" t="b">
        <v>0</v>
      </c>
      <c r="J20" s="1" t="b">
        <v>0</v>
      </c>
      <c r="K20" s="10">
        <f>Table1[List Price]/Table1[SqFt]</f>
        <v>115.97222222222223</v>
      </c>
      <c r="L20" s="2"/>
    </row>
    <row r="21" spans="1:12" x14ac:dyDescent="0.25">
      <c r="A21" s="2" t="s">
        <v>23</v>
      </c>
      <c r="B21" s="12">
        <v>39964</v>
      </c>
      <c r="C21" s="3" t="s">
        <v>5</v>
      </c>
      <c r="D21" s="4">
        <v>229500</v>
      </c>
      <c r="E21" s="1">
        <v>4</v>
      </c>
      <c r="F21" s="1">
        <v>3</v>
      </c>
      <c r="G21" s="5">
        <v>2041</v>
      </c>
      <c r="H21" s="1" t="s">
        <v>0</v>
      </c>
      <c r="I21" s="1" t="b">
        <v>0</v>
      </c>
      <c r="J21" s="1" t="b">
        <v>1</v>
      </c>
      <c r="K21" s="10">
        <f>Table1[List Price]/Table1[SqFt]</f>
        <v>112.44487996080353</v>
      </c>
      <c r="L21" s="1"/>
    </row>
    <row r="22" spans="1:12" x14ac:dyDescent="0.25">
      <c r="A22" s="2" t="s">
        <v>23</v>
      </c>
      <c r="B22" s="12">
        <v>39961</v>
      </c>
      <c r="C22" s="3" t="s">
        <v>5</v>
      </c>
      <c r="D22" s="4">
        <v>549000</v>
      </c>
      <c r="E22" s="1">
        <v>4</v>
      </c>
      <c r="F22" s="1">
        <v>3</v>
      </c>
      <c r="G22" s="5">
        <v>1940</v>
      </c>
      <c r="H22" s="1" t="s">
        <v>0</v>
      </c>
      <c r="I22" s="1" t="b">
        <v>1</v>
      </c>
      <c r="J22" s="1" t="b">
        <v>0</v>
      </c>
      <c r="K22" s="10">
        <f>Table1[List Price]/Table1[SqFt]</f>
        <v>282.98969072164948</v>
      </c>
      <c r="L22" s="1"/>
    </row>
    <row r="23" spans="1:12" x14ac:dyDescent="0.25">
      <c r="A23" s="2" t="s">
        <v>20</v>
      </c>
      <c r="B23" s="12">
        <v>40028</v>
      </c>
      <c r="C23" s="3" t="s">
        <v>6</v>
      </c>
      <c r="D23" s="4">
        <v>374900</v>
      </c>
      <c r="E23" s="1">
        <v>4</v>
      </c>
      <c r="F23" s="1">
        <v>3</v>
      </c>
      <c r="G23" s="5">
        <v>3927</v>
      </c>
      <c r="H23" s="1" t="s">
        <v>0</v>
      </c>
      <c r="I23" s="1" t="b">
        <v>0</v>
      </c>
      <c r="J23" s="1" t="b">
        <v>0</v>
      </c>
      <c r="K23" s="10">
        <f>Table1[List Price]/Table1[SqFt]</f>
        <v>95.467277820218996</v>
      </c>
      <c r="L23" s="2"/>
    </row>
    <row r="24" spans="1:12" x14ac:dyDescent="0.25">
      <c r="A24" s="2" t="s">
        <v>21</v>
      </c>
      <c r="B24" s="12">
        <v>39955</v>
      </c>
      <c r="C24" s="3" t="s">
        <v>6</v>
      </c>
      <c r="D24" s="4">
        <v>369900</v>
      </c>
      <c r="E24" s="1">
        <v>3</v>
      </c>
      <c r="F24" s="1">
        <v>2.5</v>
      </c>
      <c r="G24" s="5">
        <v>2030</v>
      </c>
      <c r="H24" s="1" t="s">
        <v>4</v>
      </c>
      <c r="I24" s="1" t="b">
        <v>1</v>
      </c>
      <c r="J24" s="1" t="b">
        <v>0</v>
      </c>
      <c r="K24" s="10">
        <f>Table1[List Price]/Table1[SqFt]</f>
        <v>182.21674876847291</v>
      </c>
      <c r="L24" s="1"/>
    </row>
    <row r="25" spans="1:12" x14ac:dyDescent="0.25">
      <c r="A25" s="2" t="s">
        <v>17</v>
      </c>
      <c r="B25" s="12">
        <v>39860</v>
      </c>
      <c r="C25" s="3" t="s">
        <v>6</v>
      </c>
      <c r="D25" s="4">
        <v>369900</v>
      </c>
      <c r="E25" s="1">
        <v>4</v>
      </c>
      <c r="F25" s="1">
        <v>3</v>
      </c>
      <c r="G25" s="5">
        <v>1988</v>
      </c>
      <c r="H25" s="1" t="s">
        <v>4</v>
      </c>
      <c r="I25" s="1" t="b">
        <v>0</v>
      </c>
      <c r="J25" s="1" t="b">
        <v>1</v>
      </c>
      <c r="K25" s="10">
        <f>Table1[List Price]/Table1[SqFt]</f>
        <v>186.06639839034204</v>
      </c>
      <c r="L25" s="1"/>
    </row>
    <row r="26" spans="1:12" x14ac:dyDescent="0.25">
      <c r="A26" s="2" t="s">
        <v>23</v>
      </c>
      <c r="B26" s="12">
        <v>40009</v>
      </c>
      <c r="C26" s="3" t="s">
        <v>8</v>
      </c>
      <c r="D26" s="4">
        <v>229900</v>
      </c>
      <c r="E26" s="1">
        <v>3</v>
      </c>
      <c r="F26" s="1">
        <v>2.5</v>
      </c>
      <c r="G26" s="5">
        <v>1580</v>
      </c>
      <c r="H26" s="1" t="s">
        <v>0</v>
      </c>
      <c r="I26" s="1" t="b">
        <v>1</v>
      </c>
      <c r="J26" s="1" t="b">
        <v>0</v>
      </c>
      <c r="K26" s="10">
        <f>Table1[List Price]/Table1[SqFt]</f>
        <v>145.50632911392404</v>
      </c>
      <c r="L26" s="2"/>
    </row>
    <row r="27" spans="1:12" x14ac:dyDescent="0.25">
      <c r="A27" s="2" t="s">
        <v>18</v>
      </c>
      <c r="B27" s="12">
        <v>40021</v>
      </c>
      <c r="C27" s="6" t="s">
        <v>5</v>
      </c>
      <c r="D27" s="4">
        <v>236900</v>
      </c>
      <c r="E27" s="1">
        <v>3</v>
      </c>
      <c r="F27" s="1">
        <v>2</v>
      </c>
      <c r="G27" s="5">
        <v>1700</v>
      </c>
      <c r="H27" s="1" t="s">
        <v>0</v>
      </c>
      <c r="I27" s="1" t="b">
        <v>0</v>
      </c>
      <c r="J27" s="1" t="b">
        <v>0</v>
      </c>
      <c r="K27" s="10">
        <f>Table1[List Price]/Table1[SqFt]</f>
        <v>139.35294117647058</v>
      </c>
      <c r="L27" s="1"/>
    </row>
    <row r="28" spans="1:12" x14ac:dyDescent="0.25">
      <c r="A28" s="2" t="s">
        <v>18</v>
      </c>
      <c r="B28" s="12">
        <v>40071</v>
      </c>
      <c r="C28" s="3" t="s">
        <v>5</v>
      </c>
      <c r="D28" s="4">
        <v>339900</v>
      </c>
      <c r="E28" s="1">
        <v>4</v>
      </c>
      <c r="F28" s="1">
        <v>2</v>
      </c>
      <c r="G28" s="5">
        <v>2238</v>
      </c>
      <c r="H28" s="1" t="s">
        <v>0</v>
      </c>
      <c r="I28" s="1" t="b">
        <v>0</v>
      </c>
      <c r="J28" s="1" t="b">
        <v>0</v>
      </c>
      <c r="K28" s="10">
        <f>Table1[List Price]/Table1[SqFt]</f>
        <v>151.87667560321717</v>
      </c>
      <c r="L28" s="1"/>
    </row>
    <row r="29" spans="1:12" x14ac:dyDescent="0.25">
      <c r="A29" s="2" t="s">
        <v>18</v>
      </c>
      <c r="B29" s="12">
        <v>39943</v>
      </c>
      <c r="C29" s="3" t="s">
        <v>5</v>
      </c>
      <c r="D29" s="4">
        <v>375000</v>
      </c>
      <c r="E29" s="1">
        <v>4</v>
      </c>
      <c r="F29" s="1">
        <v>3</v>
      </c>
      <c r="G29" s="5">
        <v>2467</v>
      </c>
      <c r="H29" s="1" t="s">
        <v>0</v>
      </c>
      <c r="I29" s="1" t="b">
        <v>1</v>
      </c>
      <c r="J29" s="1" t="b">
        <v>0</v>
      </c>
      <c r="K29" s="10">
        <f>Table1[List Price]/Table1[SqFt]</f>
        <v>152.00648561005269</v>
      </c>
      <c r="L29" s="1"/>
    </row>
    <row r="30" spans="1:12" x14ac:dyDescent="0.25">
      <c r="A30" s="2" t="s">
        <v>18</v>
      </c>
      <c r="B30" s="12">
        <v>39913</v>
      </c>
      <c r="C30" s="3" t="s">
        <v>8</v>
      </c>
      <c r="D30" s="4">
        <v>205000</v>
      </c>
      <c r="E30" s="1">
        <v>3</v>
      </c>
      <c r="F30" s="1">
        <v>2.5</v>
      </c>
      <c r="G30" s="5">
        <v>2001</v>
      </c>
      <c r="H30" s="1" t="s">
        <v>0</v>
      </c>
      <c r="I30" s="1" t="b">
        <v>1</v>
      </c>
      <c r="J30" s="1" t="b">
        <v>0</v>
      </c>
      <c r="K30" s="10">
        <f>Table1[List Price]/Table1[SqFt]</f>
        <v>102.4487756121939</v>
      </c>
      <c r="L30" s="2"/>
    </row>
    <row r="31" spans="1:12" x14ac:dyDescent="0.25">
      <c r="A31" s="2" t="s">
        <v>18</v>
      </c>
      <c r="B31" s="12">
        <v>40047</v>
      </c>
      <c r="C31" s="3" t="s">
        <v>8</v>
      </c>
      <c r="D31" s="4">
        <v>229500</v>
      </c>
      <c r="E31" s="1">
        <v>4</v>
      </c>
      <c r="F31" s="1">
        <v>2.5</v>
      </c>
      <c r="G31" s="5">
        <v>2284</v>
      </c>
      <c r="H31" s="1" t="s">
        <v>4</v>
      </c>
      <c r="I31" s="1" t="b">
        <v>0</v>
      </c>
      <c r="J31" s="1" t="b">
        <v>0</v>
      </c>
      <c r="K31" s="10">
        <f>Table1[List Price]/Table1[SqFt]</f>
        <v>100.48161120840631</v>
      </c>
      <c r="L31" s="1"/>
    </row>
    <row r="32" spans="1:12" x14ac:dyDescent="0.25">
      <c r="A32" s="2" t="s">
        <v>18</v>
      </c>
      <c r="B32" s="12">
        <v>40105</v>
      </c>
      <c r="C32" s="6" t="s">
        <v>8</v>
      </c>
      <c r="D32" s="4">
        <v>235990</v>
      </c>
      <c r="E32" s="1">
        <v>5</v>
      </c>
      <c r="F32" s="1">
        <v>3</v>
      </c>
      <c r="G32" s="5">
        <v>2723</v>
      </c>
      <c r="H32" s="1" t="s">
        <v>4</v>
      </c>
      <c r="I32" s="1" t="b">
        <v>0</v>
      </c>
      <c r="J32" s="1" t="b">
        <v>0</v>
      </c>
      <c r="K32" s="10">
        <f>Table1[List Price]/Table1[SqFt]</f>
        <v>86.665442526625043</v>
      </c>
      <c r="L32" s="1"/>
    </row>
    <row r="33" spans="1:12" x14ac:dyDescent="0.25">
      <c r="A33" s="2" t="s">
        <v>18</v>
      </c>
      <c r="B33" s="12">
        <v>40018</v>
      </c>
      <c r="C33" s="3" t="s">
        <v>8</v>
      </c>
      <c r="D33" s="4">
        <v>239900</v>
      </c>
      <c r="E33" s="1">
        <v>4</v>
      </c>
      <c r="F33" s="1">
        <v>3</v>
      </c>
      <c r="G33" s="5">
        <v>2260</v>
      </c>
      <c r="H33" s="1" t="s">
        <v>0</v>
      </c>
      <c r="I33" s="1" t="b">
        <v>0</v>
      </c>
      <c r="J33" s="1" t="b">
        <v>0</v>
      </c>
      <c r="K33" s="10">
        <f>Table1[List Price]/Table1[SqFt]</f>
        <v>106.15044247787611</v>
      </c>
      <c r="L33" s="1"/>
    </row>
    <row r="34" spans="1:12" x14ac:dyDescent="0.25">
      <c r="A34" s="2" t="s">
        <v>18</v>
      </c>
      <c r="B34" s="12">
        <v>40077</v>
      </c>
      <c r="C34" s="3" t="s">
        <v>8</v>
      </c>
      <c r="D34" s="4">
        <v>245000</v>
      </c>
      <c r="E34" s="1">
        <v>4</v>
      </c>
      <c r="F34" s="1">
        <v>3</v>
      </c>
      <c r="G34" s="5">
        <v>2084</v>
      </c>
      <c r="H34" s="1" t="s">
        <v>0</v>
      </c>
      <c r="I34" s="1" t="b">
        <v>0</v>
      </c>
      <c r="J34" s="1" t="b">
        <v>0</v>
      </c>
      <c r="K34" s="10">
        <f>Table1[List Price]/Table1[SqFt]</f>
        <v>117.56238003838772</v>
      </c>
      <c r="L34" s="1"/>
    </row>
    <row r="35" spans="1:12" x14ac:dyDescent="0.25">
      <c r="A35" s="2" t="s">
        <v>18</v>
      </c>
      <c r="B35" s="12">
        <v>40123</v>
      </c>
      <c r="C35" s="3" t="s">
        <v>8</v>
      </c>
      <c r="D35" s="4">
        <v>264900</v>
      </c>
      <c r="E35" s="1">
        <v>4</v>
      </c>
      <c r="F35" s="1">
        <v>2.5</v>
      </c>
      <c r="G35" s="5">
        <v>2488</v>
      </c>
      <c r="H35" s="1" t="s">
        <v>4</v>
      </c>
      <c r="I35" s="1" t="b">
        <v>0</v>
      </c>
      <c r="J35" s="1" t="b">
        <v>0</v>
      </c>
      <c r="K35" s="10">
        <f>Table1[List Price]/Table1[SqFt]</f>
        <v>106.47106109324758</v>
      </c>
      <c r="L35" s="1"/>
    </row>
    <row r="36" spans="1:12" x14ac:dyDescent="0.25">
      <c r="A36" s="2" t="s">
        <v>26</v>
      </c>
      <c r="B36" s="12">
        <v>40108</v>
      </c>
      <c r="C36" s="3" t="s">
        <v>5</v>
      </c>
      <c r="D36" s="4">
        <v>340000</v>
      </c>
      <c r="E36" s="1">
        <v>4</v>
      </c>
      <c r="F36" s="1">
        <v>2.5</v>
      </c>
      <c r="G36" s="5">
        <v>2517</v>
      </c>
      <c r="H36" s="1" t="s">
        <v>4</v>
      </c>
      <c r="I36" s="1" t="b">
        <v>0</v>
      </c>
      <c r="J36" s="1" t="b">
        <v>0</v>
      </c>
      <c r="K36" s="10">
        <f>Table1[List Price]/Table1[SqFt]</f>
        <v>135.08144616607072</v>
      </c>
      <c r="L36" s="1"/>
    </row>
    <row r="37" spans="1:12" x14ac:dyDescent="0.25">
      <c r="A37" s="2" t="s">
        <v>26</v>
      </c>
      <c r="B37" s="12">
        <v>39883</v>
      </c>
      <c r="C37" s="3" t="s">
        <v>5</v>
      </c>
      <c r="D37" s="4">
        <v>354000</v>
      </c>
      <c r="E37" s="1">
        <v>4</v>
      </c>
      <c r="F37" s="1">
        <v>2</v>
      </c>
      <c r="G37" s="5">
        <v>2088</v>
      </c>
      <c r="H37" s="1" t="s">
        <v>0</v>
      </c>
      <c r="I37" s="1" t="b">
        <v>0</v>
      </c>
      <c r="J37" s="1" t="b">
        <v>0</v>
      </c>
      <c r="K37" s="10">
        <f>Table1[List Price]/Table1[SqFt]</f>
        <v>169.54022988505747</v>
      </c>
      <c r="L37" s="1"/>
    </row>
    <row r="38" spans="1:12" x14ac:dyDescent="0.25">
      <c r="A38" s="2" t="s">
        <v>26</v>
      </c>
      <c r="B38" s="12">
        <v>39888</v>
      </c>
      <c r="C38" s="3" t="s">
        <v>8</v>
      </c>
      <c r="D38" s="4">
        <v>204900</v>
      </c>
      <c r="E38" s="1">
        <v>3</v>
      </c>
      <c r="F38" s="1">
        <v>2.5</v>
      </c>
      <c r="G38" s="5">
        <v>1630</v>
      </c>
      <c r="H38" s="1" t="s">
        <v>0</v>
      </c>
      <c r="I38" s="1" t="b">
        <v>0</v>
      </c>
      <c r="J38" s="1" t="b">
        <v>1</v>
      </c>
      <c r="K38" s="10">
        <f>Table1[List Price]/Table1[SqFt]</f>
        <v>125.70552147239263</v>
      </c>
      <c r="L38" s="2"/>
    </row>
    <row r="39" spans="1:12" x14ac:dyDescent="0.25">
      <c r="A39" s="2" t="s">
        <v>26</v>
      </c>
      <c r="B39" s="12">
        <v>40056</v>
      </c>
      <c r="C39" s="3" t="s">
        <v>8</v>
      </c>
      <c r="D39" s="4">
        <v>225911</v>
      </c>
      <c r="E39" s="1">
        <v>4</v>
      </c>
      <c r="F39" s="1">
        <v>2.5</v>
      </c>
      <c r="G39" s="5">
        <v>1908</v>
      </c>
      <c r="H39" s="1" t="s">
        <v>0</v>
      </c>
      <c r="I39" s="1" t="b">
        <v>0</v>
      </c>
      <c r="J39" s="1" t="b">
        <v>1</v>
      </c>
      <c r="K39" s="10">
        <f>Table1[List Price]/Table1[SqFt]</f>
        <v>118.40199161425576</v>
      </c>
      <c r="L39" s="1"/>
    </row>
    <row r="40" spans="1:12" x14ac:dyDescent="0.25">
      <c r="A40" s="2" t="s">
        <v>26</v>
      </c>
      <c r="B40" s="12">
        <v>39861</v>
      </c>
      <c r="C40" s="3" t="s">
        <v>8</v>
      </c>
      <c r="D40" s="4">
        <v>289000</v>
      </c>
      <c r="E40" s="1">
        <v>3</v>
      </c>
      <c r="F40" s="1">
        <v>2</v>
      </c>
      <c r="G40" s="5">
        <v>1627</v>
      </c>
      <c r="H40" s="1" t="s">
        <v>0</v>
      </c>
      <c r="I40" s="1" t="b">
        <v>0</v>
      </c>
      <c r="J40" s="1" t="b">
        <v>1</v>
      </c>
      <c r="K40" s="10">
        <f>Table1[List Price]/Table1[SqFt]</f>
        <v>177.62753534111863</v>
      </c>
      <c r="L40" s="1"/>
    </row>
    <row r="41" spans="1:12" x14ac:dyDescent="0.25">
      <c r="A41" s="2" t="s">
        <v>26</v>
      </c>
      <c r="B41" s="12">
        <v>39971</v>
      </c>
      <c r="C41" s="6" t="s">
        <v>8</v>
      </c>
      <c r="D41" s="4">
        <v>360000</v>
      </c>
      <c r="E41" s="1">
        <v>5</v>
      </c>
      <c r="F41" s="1">
        <v>3</v>
      </c>
      <c r="G41" s="5">
        <v>2112</v>
      </c>
      <c r="H41" s="1" t="s">
        <v>0</v>
      </c>
      <c r="I41" s="1" t="b">
        <v>1</v>
      </c>
      <c r="J41" s="1" t="b">
        <v>1</v>
      </c>
      <c r="K41" s="10">
        <f>Table1[List Price]/Table1[SqFt]</f>
        <v>170.45454545454547</v>
      </c>
      <c r="L41" s="1"/>
    </row>
    <row r="42" spans="1:12" x14ac:dyDescent="0.25">
      <c r="A42" s="2" t="s">
        <v>27</v>
      </c>
      <c r="B42" s="12">
        <v>40073</v>
      </c>
      <c r="C42" s="6" t="s">
        <v>5</v>
      </c>
      <c r="D42" s="4">
        <v>225911</v>
      </c>
      <c r="E42" s="1">
        <v>4</v>
      </c>
      <c r="F42" s="1">
        <v>3</v>
      </c>
      <c r="G42" s="5">
        <v>2285</v>
      </c>
      <c r="H42" s="1" t="s">
        <v>0</v>
      </c>
      <c r="I42" s="1" t="b">
        <v>1</v>
      </c>
      <c r="J42" s="1" t="b">
        <v>0</v>
      </c>
      <c r="K42" s="10">
        <f>Table1[List Price]/Table1[SqFt]</f>
        <v>98.866958424507658</v>
      </c>
      <c r="L42" s="2"/>
    </row>
    <row r="43" spans="1:12" x14ac:dyDescent="0.25">
      <c r="A43" s="2" t="s">
        <v>27</v>
      </c>
      <c r="B43" s="12">
        <v>39856</v>
      </c>
      <c r="C43" s="3" t="s">
        <v>5</v>
      </c>
      <c r="D43" s="4">
        <v>285000</v>
      </c>
      <c r="E43" s="1">
        <v>2</v>
      </c>
      <c r="F43" s="1">
        <v>1</v>
      </c>
      <c r="G43" s="5">
        <v>2036</v>
      </c>
      <c r="H43" s="1" t="s">
        <v>0</v>
      </c>
      <c r="I43" s="1" t="b">
        <v>0</v>
      </c>
      <c r="J43" s="1" t="b">
        <v>1</v>
      </c>
      <c r="K43" s="10">
        <f>Table1[List Price]/Table1[SqFt]</f>
        <v>139.9803536345776</v>
      </c>
      <c r="L43" s="1"/>
    </row>
    <row r="44" spans="1:12" x14ac:dyDescent="0.25">
      <c r="A44" s="2" t="s">
        <v>20</v>
      </c>
      <c r="B44" s="12">
        <v>40036</v>
      </c>
      <c r="C44" s="3" t="s">
        <v>6</v>
      </c>
      <c r="D44" s="4">
        <v>369900</v>
      </c>
      <c r="E44" s="1">
        <v>5</v>
      </c>
      <c r="F44" s="1">
        <v>3</v>
      </c>
      <c r="G44" s="5">
        <v>2477</v>
      </c>
      <c r="H44" s="1" t="s">
        <v>0</v>
      </c>
      <c r="I44" s="1" t="b">
        <v>0</v>
      </c>
      <c r="J44" s="1" t="b">
        <v>0</v>
      </c>
      <c r="K44" s="10">
        <f>Table1[List Price]/Table1[SqFt]</f>
        <v>149.33387161889382</v>
      </c>
      <c r="L44" s="1"/>
    </row>
    <row r="45" spans="1:12" x14ac:dyDescent="0.25">
      <c r="A45" s="2" t="s">
        <v>27</v>
      </c>
      <c r="B45" s="12">
        <v>39949</v>
      </c>
      <c r="C45" s="3" t="s">
        <v>8</v>
      </c>
      <c r="D45" s="4">
        <v>304900</v>
      </c>
      <c r="E45" s="1">
        <v>4</v>
      </c>
      <c r="F45" s="1">
        <v>3</v>
      </c>
      <c r="G45" s="5">
        <v>2350</v>
      </c>
      <c r="H45" s="1" t="s">
        <v>0</v>
      </c>
      <c r="I45" s="1" t="b">
        <v>0</v>
      </c>
      <c r="J45" s="1" t="b">
        <v>1</v>
      </c>
      <c r="K45" s="10">
        <f>Table1[List Price]/Table1[SqFt]</f>
        <v>129.74468085106383</v>
      </c>
      <c r="L45" s="1"/>
    </row>
    <row r="46" spans="1:12" x14ac:dyDescent="0.25">
      <c r="A46" s="2" t="s">
        <v>25</v>
      </c>
      <c r="B46" s="12">
        <v>39933</v>
      </c>
      <c r="C46" s="3" t="s">
        <v>5</v>
      </c>
      <c r="D46" s="4">
        <v>319000</v>
      </c>
      <c r="E46" s="1">
        <v>4</v>
      </c>
      <c r="F46" s="1">
        <v>2</v>
      </c>
      <c r="G46" s="5">
        <v>1690</v>
      </c>
      <c r="H46" s="1" t="s">
        <v>4</v>
      </c>
      <c r="I46" s="1" t="b">
        <v>1</v>
      </c>
      <c r="J46" s="1" t="b">
        <v>0</v>
      </c>
      <c r="K46" s="10">
        <f>Table1[List Price]/Table1[SqFt]</f>
        <v>188.75739644970415</v>
      </c>
      <c r="L46" s="1"/>
    </row>
    <row r="47" spans="1:12" x14ac:dyDescent="0.25">
      <c r="A47" s="2" t="s">
        <v>16</v>
      </c>
      <c r="B47" s="12">
        <v>39966</v>
      </c>
      <c r="C47" s="6" t="s">
        <v>6</v>
      </c>
      <c r="D47" s="4">
        <v>359900</v>
      </c>
      <c r="E47" s="1">
        <v>3</v>
      </c>
      <c r="F47" s="1">
        <v>3</v>
      </c>
      <c r="G47" s="5">
        <v>1839</v>
      </c>
      <c r="H47" s="1" t="s">
        <v>4</v>
      </c>
      <c r="I47" s="1" t="b">
        <v>0</v>
      </c>
      <c r="J47" s="1" t="b">
        <v>1</v>
      </c>
      <c r="K47" s="10">
        <f>Table1[List Price]/Table1[SqFt]</f>
        <v>195.70418705818381</v>
      </c>
      <c r="L47" s="2"/>
    </row>
    <row r="48" spans="1:12" x14ac:dyDescent="0.25">
      <c r="A48" s="2" t="s">
        <v>17</v>
      </c>
      <c r="B48" s="12">
        <v>40047</v>
      </c>
      <c r="C48" s="3" t="s">
        <v>6</v>
      </c>
      <c r="D48" s="4">
        <v>359900</v>
      </c>
      <c r="E48" s="1">
        <v>3</v>
      </c>
      <c r="F48" s="1">
        <v>2</v>
      </c>
      <c r="G48" s="5">
        <v>2198</v>
      </c>
      <c r="H48" s="1" t="s">
        <v>4</v>
      </c>
      <c r="I48" s="1" t="b">
        <v>1</v>
      </c>
      <c r="J48" s="1" t="b">
        <v>0</v>
      </c>
      <c r="K48" s="10">
        <f>Table1[List Price]/Table1[SqFt]</f>
        <v>163.73976342129208</v>
      </c>
      <c r="L48" s="1"/>
    </row>
    <row r="49" spans="1:12" x14ac:dyDescent="0.25">
      <c r="A49" s="2" t="s">
        <v>21</v>
      </c>
      <c r="B49" s="12">
        <v>40006</v>
      </c>
      <c r="C49" s="3" t="s">
        <v>6</v>
      </c>
      <c r="D49" s="4">
        <v>359000</v>
      </c>
      <c r="E49" s="1">
        <v>3</v>
      </c>
      <c r="F49" s="1">
        <v>2.5</v>
      </c>
      <c r="G49" s="5">
        <v>2210</v>
      </c>
      <c r="H49" s="1" t="s">
        <v>0</v>
      </c>
      <c r="I49" s="1" t="b">
        <v>0</v>
      </c>
      <c r="J49" s="1" t="b">
        <v>0</v>
      </c>
      <c r="K49" s="10">
        <f>Table1[List Price]/Table1[SqFt]</f>
        <v>162.44343891402715</v>
      </c>
      <c r="L49" s="1"/>
    </row>
    <row r="50" spans="1:12" x14ac:dyDescent="0.25">
      <c r="A50" s="2" t="s">
        <v>14</v>
      </c>
      <c r="B50" s="12">
        <v>40009</v>
      </c>
      <c r="C50" s="3" t="s">
        <v>6</v>
      </c>
      <c r="D50" s="4">
        <v>355000</v>
      </c>
      <c r="E50" s="1">
        <v>4</v>
      </c>
      <c r="F50" s="1">
        <v>2.5</v>
      </c>
      <c r="G50" s="5">
        <v>2647</v>
      </c>
      <c r="H50" s="1" t="s">
        <v>4</v>
      </c>
      <c r="I50" s="1" t="b">
        <v>1</v>
      </c>
      <c r="J50" s="1" t="b">
        <v>0</v>
      </c>
      <c r="K50" s="10">
        <f>Table1[List Price]/Table1[SqFt]</f>
        <v>134.11409142425387</v>
      </c>
      <c r="L50" s="2"/>
    </row>
    <row r="51" spans="1:12" x14ac:dyDescent="0.25">
      <c r="A51" s="2" t="s">
        <v>25</v>
      </c>
      <c r="B51" s="12">
        <v>39917</v>
      </c>
      <c r="C51" s="3" t="s">
        <v>8</v>
      </c>
      <c r="D51" s="4">
        <v>247500</v>
      </c>
      <c r="E51" s="1">
        <v>4</v>
      </c>
      <c r="F51" s="1">
        <v>3</v>
      </c>
      <c r="G51" s="5">
        <v>2000</v>
      </c>
      <c r="H51" s="1" t="s">
        <v>0</v>
      </c>
      <c r="I51" s="1" t="b">
        <v>0</v>
      </c>
      <c r="J51" s="1" t="b">
        <v>0</v>
      </c>
      <c r="K51" s="10">
        <f>Table1[List Price]/Table1[SqFt]</f>
        <v>123.75</v>
      </c>
      <c r="L51" s="1"/>
    </row>
    <row r="52" spans="1:12" x14ac:dyDescent="0.25">
      <c r="A52" s="2" t="s">
        <v>25</v>
      </c>
      <c r="B52" s="12">
        <v>39978</v>
      </c>
      <c r="C52" s="3" t="s">
        <v>8</v>
      </c>
      <c r="D52" s="4">
        <v>249000</v>
      </c>
      <c r="E52" s="1">
        <v>3</v>
      </c>
      <c r="F52" s="1">
        <v>2.5</v>
      </c>
      <c r="G52" s="5">
        <v>1730</v>
      </c>
      <c r="H52" s="1" t="s">
        <v>4</v>
      </c>
      <c r="I52" s="1" t="b">
        <v>0</v>
      </c>
      <c r="J52" s="1" t="b">
        <v>1</v>
      </c>
      <c r="K52" s="10">
        <f>Table1[List Price]/Table1[SqFt]</f>
        <v>143.93063583815029</v>
      </c>
      <c r="L52" s="2"/>
    </row>
    <row r="53" spans="1:12" x14ac:dyDescent="0.25">
      <c r="A53" s="2" t="s">
        <v>25</v>
      </c>
      <c r="B53" s="12">
        <v>39894</v>
      </c>
      <c r="C53" s="3" t="s">
        <v>8</v>
      </c>
      <c r="D53" s="4">
        <v>338876</v>
      </c>
      <c r="E53" s="1">
        <v>4</v>
      </c>
      <c r="F53" s="1">
        <v>2.5</v>
      </c>
      <c r="G53" s="5">
        <v>2612</v>
      </c>
      <c r="H53" s="1" t="s">
        <v>0</v>
      </c>
      <c r="I53" s="1" t="b">
        <v>0</v>
      </c>
      <c r="J53" s="1" t="b">
        <v>0</v>
      </c>
      <c r="K53" s="10">
        <f>Table1[List Price]/Table1[SqFt]</f>
        <v>129.73813169984686</v>
      </c>
      <c r="L53" s="1"/>
    </row>
    <row r="54" spans="1:12" x14ac:dyDescent="0.25">
      <c r="A54" s="2" t="s">
        <v>15</v>
      </c>
      <c r="B54" s="12">
        <v>39840</v>
      </c>
      <c r="C54" s="3" t="s">
        <v>5</v>
      </c>
      <c r="D54" s="4">
        <v>309950</v>
      </c>
      <c r="E54" s="1">
        <v>4</v>
      </c>
      <c r="F54" s="1">
        <v>3</v>
      </c>
      <c r="G54" s="5">
        <v>2800</v>
      </c>
      <c r="H54" s="1" t="s">
        <v>0</v>
      </c>
      <c r="I54" s="1" t="b">
        <v>0</v>
      </c>
      <c r="J54" s="1" t="b">
        <v>1</v>
      </c>
      <c r="K54" s="10">
        <f>Table1[List Price]/Table1[SqFt]</f>
        <v>110.69642857142857</v>
      </c>
      <c r="L54" s="1"/>
    </row>
    <row r="55" spans="1:12" x14ac:dyDescent="0.25">
      <c r="A55" s="2" t="s">
        <v>15</v>
      </c>
      <c r="B55" s="12">
        <v>40116</v>
      </c>
      <c r="C55" s="3" t="s">
        <v>5</v>
      </c>
      <c r="D55" s="4">
        <v>345000</v>
      </c>
      <c r="E55" s="1">
        <v>3</v>
      </c>
      <c r="F55" s="1">
        <v>2</v>
      </c>
      <c r="G55" s="5">
        <v>2694</v>
      </c>
      <c r="H55" s="1" t="s">
        <v>0</v>
      </c>
      <c r="I55" s="1" t="b">
        <v>0</v>
      </c>
      <c r="J55" s="1" t="b">
        <v>0</v>
      </c>
      <c r="K55" s="10">
        <f>Table1[List Price]/Table1[SqFt]</f>
        <v>128.06236080178175</v>
      </c>
      <c r="L55" s="1"/>
    </row>
    <row r="56" spans="1:12" x14ac:dyDescent="0.25">
      <c r="A56" s="2" t="s">
        <v>14</v>
      </c>
      <c r="B56" s="12">
        <v>39913</v>
      </c>
      <c r="C56" s="3" t="s">
        <v>6</v>
      </c>
      <c r="D56" s="4">
        <v>350000</v>
      </c>
      <c r="E56" s="1">
        <v>3</v>
      </c>
      <c r="F56" s="1">
        <v>2.5</v>
      </c>
      <c r="G56" s="5">
        <v>1991</v>
      </c>
      <c r="H56" s="1" t="s">
        <v>4</v>
      </c>
      <c r="I56" s="1" t="b">
        <v>0</v>
      </c>
      <c r="J56" s="1" t="b">
        <v>1</v>
      </c>
      <c r="K56" s="10">
        <f>Table1[List Price]/Table1[SqFt]</f>
        <v>175.79105976896031</v>
      </c>
      <c r="L56" s="1"/>
    </row>
    <row r="57" spans="1:12" x14ac:dyDescent="0.25">
      <c r="A57" s="2" t="s">
        <v>15</v>
      </c>
      <c r="B57" s="12">
        <v>40087</v>
      </c>
      <c r="C57" s="3" t="s">
        <v>8</v>
      </c>
      <c r="D57" s="4">
        <v>249900</v>
      </c>
      <c r="E57" s="1">
        <v>2</v>
      </c>
      <c r="F57" s="1">
        <v>1</v>
      </c>
      <c r="G57" s="5">
        <v>1101</v>
      </c>
      <c r="H57" s="1" t="s">
        <v>4</v>
      </c>
      <c r="I57" s="1" t="b">
        <v>0</v>
      </c>
      <c r="J57" s="1" t="b">
        <v>0</v>
      </c>
      <c r="K57" s="10">
        <f>Table1[List Price]/Table1[SqFt]</f>
        <v>226.97547683923705</v>
      </c>
      <c r="L57" s="2"/>
    </row>
    <row r="58" spans="1:12" x14ac:dyDescent="0.25">
      <c r="A58" s="2" t="s">
        <v>21</v>
      </c>
      <c r="B58" s="12">
        <v>39899</v>
      </c>
      <c r="C58" s="6" t="s">
        <v>5</v>
      </c>
      <c r="D58" s="4">
        <v>229900</v>
      </c>
      <c r="E58" s="1">
        <v>4</v>
      </c>
      <c r="F58" s="1">
        <v>3</v>
      </c>
      <c r="G58" s="5">
        <v>2006</v>
      </c>
      <c r="H58" s="1" t="s">
        <v>0</v>
      </c>
      <c r="I58" s="1" t="b">
        <v>0</v>
      </c>
      <c r="J58" s="1" t="b">
        <v>0</v>
      </c>
      <c r="K58" s="10">
        <f>Table1[List Price]/Table1[SqFt]</f>
        <v>114.60618145563311</v>
      </c>
      <c r="L58" s="1"/>
    </row>
    <row r="59" spans="1:12" x14ac:dyDescent="0.25">
      <c r="A59" s="2" t="s">
        <v>21</v>
      </c>
      <c r="B59" s="12">
        <v>39889</v>
      </c>
      <c r="C59" s="3" t="s">
        <v>5</v>
      </c>
      <c r="D59" s="4">
        <v>239900</v>
      </c>
      <c r="E59" s="1">
        <v>2</v>
      </c>
      <c r="F59" s="1">
        <v>2</v>
      </c>
      <c r="G59" s="5">
        <v>1248</v>
      </c>
      <c r="H59" s="1" t="s">
        <v>4</v>
      </c>
      <c r="I59" s="1" t="b">
        <v>0</v>
      </c>
      <c r="J59" s="1" t="b">
        <v>0</v>
      </c>
      <c r="K59" s="10">
        <f>Table1[List Price]/Table1[SqFt]</f>
        <v>192.22756410256412</v>
      </c>
      <c r="L59" s="1"/>
    </row>
    <row r="60" spans="1:12" x14ac:dyDescent="0.25">
      <c r="A60" s="2" t="s">
        <v>21</v>
      </c>
      <c r="B60" s="12">
        <v>40119</v>
      </c>
      <c r="C60" s="3" t="s">
        <v>5</v>
      </c>
      <c r="D60" s="4">
        <v>243000</v>
      </c>
      <c r="E60" s="1">
        <v>4</v>
      </c>
      <c r="F60" s="1">
        <v>2.5</v>
      </c>
      <c r="G60" s="5">
        <v>1914</v>
      </c>
      <c r="H60" s="1" t="s">
        <v>0</v>
      </c>
      <c r="I60" s="1" t="b">
        <v>0</v>
      </c>
      <c r="J60" s="1" t="b">
        <v>0</v>
      </c>
      <c r="K60" s="10">
        <f>Table1[List Price]/Table1[SqFt]</f>
        <v>126.95924764890282</v>
      </c>
      <c r="L60" s="1"/>
    </row>
    <row r="61" spans="1:12" x14ac:dyDescent="0.25">
      <c r="A61" s="2" t="s">
        <v>21</v>
      </c>
      <c r="B61" s="12">
        <v>40103</v>
      </c>
      <c r="C61" s="3" t="s">
        <v>5</v>
      </c>
      <c r="D61" s="4">
        <v>250000</v>
      </c>
      <c r="E61" s="1">
        <v>4</v>
      </c>
      <c r="F61" s="1">
        <v>3</v>
      </c>
      <c r="G61" s="5">
        <v>1943</v>
      </c>
      <c r="H61" s="1" t="s">
        <v>0</v>
      </c>
      <c r="I61" s="1" t="b">
        <v>0</v>
      </c>
      <c r="J61" s="1" t="b">
        <v>0</v>
      </c>
      <c r="K61" s="10">
        <f>Table1[List Price]/Table1[SqFt]</f>
        <v>128.66700977869274</v>
      </c>
      <c r="L61" s="1"/>
    </row>
    <row r="62" spans="1:12" x14ac:dyDescent="0.25">
      <c r="A62" s="2" t="s">
        <v>25</v>
      </c>
      <c r="B62" s="12">
        <v>39953</v>
      </c>
      <c r="C62" s="3" t="s">
        <v>6</v>
      </c>
      <c r="D62" s="4">
        <v>349900</v>
      </c>
      <c r="E62" s="1">
        <v>4</v>
      </c>
      <c r="F62" s="1">
        <v>3</v>
      </c>
      <c r="G62" s="5">
        <v>2290</v>
      </c>
      <c r="H62" s="1" t="s">
        <v>0</v>
      </c>
      <c r="I62" s="1" t="b">
        <v>1</v>
      </c>
      <c r="J62" s="1" t="b">
        <v>1</v>
      </c>
      <c r="K62" s="10">
        <f>Table1[List Price]/Table1[SqFt]</f>
        <v>152.7947598253275</v>
      </c>
      <c r="L62" s="2"/>
    </row>
    <row r="63" spans="1:12" x14ac:dyDescent="0.25">
      <c r="A63" s="2" t="s">
        <v>20</v>
      </c>
      <c r="B63" s="12">
        <v>40107</v>
      </c>
      <c r="C63" s="6" t="s">
        <v>6</v>
      </c>
      <c r="D63" s="4">
        <v>349000</v>
      </c>
      <c r="E63" s="1">
        <v>3</v>
      </c>
      <c r="F63" s="1">
        <v>2.5</v>
      </c>
      <c r="G63" s="5">
        <v>1727</v>
      </c>
      <c r="H63" s="1" t="s">
        <v>4</v>
      </c>
      <c r="I63" s="1" t="b">
        <v>1</v>
      </c>
      <c r="J63" s="1" t="b">
        <v>1</v>
      </c>
      <c r="K63" s="10">
        <f>Table1[List Price]/Table1[SqFt]</f>
        <v>202.08453966415749</v>
      </c>
      <c r="L63" s="2"/>
    </row>
    <row r="64" spans="1:12" x14ac:dyDescent="0.25">
      <c r="A64" s="2" t="s">
        <v>20</v>
      </c>
      <c r="B64" s="12">
        <v>40088</v>
      </c>
      <c r="C64" s="3" t="s">
        <v>6</v>
      </c>
      <c r="D64" s="4">
        <v>349000</v>
      </c>
      <c r="E64" s="1">
        <v>3</v>
      </c>
      <c r="F64" s="1">
        <v>2</v>
      </c>
      <c r="G64" s="5">
        <v>1810</v>
      </c>
      <c r="H64" s="1" t="s">
        <v>4</v>
      </c>
      <c r="I64" s="1" t="b">
        <v>1</v>
      </c>
      <c r="J64" s="1" t="b">
        <v>1</v>
      </c>
      <c r="K64" s="10">
        <f>Table1[List Price]/Table1[SqFt]</f>
        <v>192.81767955801104</v>
      </c>
      <c r="L64" s="1"/>
    </row>
    <row r="65" spans="1:12" x14ac:dyDescent="0.25">
      <c r="A65" s="2" t="s">
        <v>20</v>
      </c>
      <c r="B65" s="12">
        <v>40049</v>
      </c>
      <c r="C65" s="3" t="s">
        <v>6</v>
      </c>
      <c r="D65" s="4">
        <v>349000</v>
      </c>
      <c r="E65" s="1">
        <v>3</v>
      </c>
      <c r="F65" s="1">
        <v>2.5</v>
      </c>
      <c r="G65" s="5">
        <v>2000</v>
      </c>
      <c r="H65" s="1" t="s">
        <v>0</v>
      </c>
      <c r="I65" s="1" t="b">
        <v>1</v>
      </c>
      <c r="J65" s="1" t="b">
        <v>0</v>
      </c>
      <c r="K65" s="10">
        <f>Table1[List Price]/Table1[SqFt]</f>
        <v>174.5</v>
      </c>
      <c r="L65" s="1"/>
    </row>
    <row r="66" spans="1:12" x14ac:dyDescent="0.25">
      <c r="A66" s="2" t="s">
        <v>21</v>
      </c>
      <c r="B66" s="12">
        <v>39955</v>
      </c>
      <c r="C66" s="3" t="s">
        <v>8</v>
      </c>
      <c r="D66" s="4">
        <v>225911</v>
      </c>
      <c r="E66" s="1">
        <v>4</v>
      </c>
      <c r="F66" s="1">
        <v>2.5</v>
      </c>
      <c r="G66" s="5">
        <v>1908</v>
      </c>
      <c r="H66" s="1" t="s">
        <v>0</v>
      </c>
      <c r="I66" s="1" t="b">
        <v>1</v>
      </c>
      <c r="J66" s="1" t="b">
        <v>0</v>
      </c>
      <c r="K66" s="10">
        <f>Table1[List Price]/Table1[SqFt]</f>
        <v>118.40199161425576</v>
      </c>
      <c r="L66" s="2"/>
    </row>
    <row r="67" spans="1:12" x14ac:dyDescent="0.25">
      <c r="A67" s="2" t="s">
        <v>21</v>
      </c>
      <c r="B67" s="12">
        <v>40003</v>
      </c>
      <c r="C67" s="3" t="s">
        <v>8</v>
      </c>
      <c r="D67" s="4">
        <v>245000</v>
      </c>
      <c r="E67" s="1">
        <v>4</v>
      </c>
      <c r="F67" s="1">
        <v>3</v>
      </c>
      <c r="G67" s="5">
        <v>2047</v>
      </c>
      <c r="H67" s="1" t="s">
        <v>0</v>
      </c>
      <c r="I67" s="1" t="b">
        <v>0</v>
      </c>
      <c r="J67" s="1" t="b">
        <v>1</v>
      </c>
      <c r="K67" s="10">
        <f>Table1[List Price]/Table1[SqFt]</f>
        <v>119.68734733756718</v>
      </c>
      <c r="L67" s="2"/>
    </row>
    <row r="68" spans="1:12" x14ac:dyDescent="0.25">
      <c r="A68" s="2" t="s">
        <v>21</v>
      </c>
      <c r="B68" s="12">
        <v>39914</v>
      </c>
      <c r="C68" s="3" t="s">
        <v>8</v>
      </c>
      <c r="D68" s="4">
        <v>325000</v>
      </c>
      <c r="E68" s="1">
        <v>4</v>
      </c>
      <c r="F68" s="1">
        <v>3</v>
      </c>
      <c r="G68" s="5">
        <v>2770</v>
      </c>
      <c r="H68" s="1" t="s">
        <v>0</v>
      </c>
      <c r="I68" s="1" t="b">
        <v>0</v>
      </c>
      <c r="J68" s="1" t="b">
        <v>0</v>
      </c>
      <c r="K68" s="10">
        <f>Table1[List Price]/Table1[SqFt]</f>
        <v>117.32851985559567</v>
      </c>
      <c r="L68" s="1"/>
    </row>
    <row r="69" spans="1:12" x14ac:dyDescent="0.25">
      <c r="A69" s="2" t="s">
        <v>21</v>
      </c>
      <c r="B69" s="12">
        <v>39941</v>
      </c>
      <c r="C69" s="3" t="s">
        <v>8</v>
      </c>
      <c r="D69" s="4">
        <v>325000</v>
      </c>
      <c r="E69" s="1">
        <v>4</v>
      </c>
      <c r="F69" s="1">
        <v>3</v>
      </c>
      <c r="G69" s="5">
        <v>2800</v>
      </c>
      <c r="H69" s="1" t="s">
        <v>4</v>
      </c>
      <c r="I69" s="1" t="b">
        <v>1</v>
      </c>
      <c r="J69" s="1" t="b">
        <v>1</v>
      </c>
      <c r="K69" s="10">
        <f>Table1[List Price]/Table1[SqFt]</f>
        <v>116.07142857142857</v>
      </c>
      <c r="L69" s="1"/>
    </row>
    <row r="70" spans="1:12" x14ac:dyDescent="0.25">
      <c r="A70" s="2" t="s">
        <v>21</v>
      </c>
      <c r="B70" s="12">
        <v>40123</v>
      </c>
      <c r="C70" s="3" t="s">
        <v>8</v>
      </c>
      <c r="D70" s="4">
        <v>360000</v>
      </c>
      <c r="E70" s="1">
        <v>3</v>
      </c>
      <c r="F70" s="1">
        <v>2.5</v>
      </c>
      <c r="G70" s="5">
        <v>2330</v>
      </c>
      <c r="H70" s="1" t="s">
        <v>0</v>
      </c>
      <c r="I70" s="1" t="b">
        <v>0</v>
      </c>
      <c r="J70" s="1" t="b">
        <v>0</v>
      </c>
      <c r="K70" s="10">
        <f>Table1[List Price]/Table1[SqFt]</f>
        <v>154.50643776824035</v>
      </c>
      <c r="L70" s="1"/>
    </row>
    <row r="71" spans="1:12" x14ac:dyDescent="0.25">
      <c r="A71" s="2" t="s">
        <v>22</v>
      </c>
      <c r="B71" s="12">
        <v>40114</v>
      </c>
      <c r="C71" s="3" t="s">
        <v>5</v>
      </c>
      <c r="D71" s="4">
        <v>227500</v>
      </c>
      <c r="E71" s="1">
        <v>4</v>
      </c>
      <c r="F71" s="1">
        <v>3</v>
      </c>
      <c r="G71" s="5">
        <v>1990</v>
      </c>
      <c r="H71" s="1" t="s">
        <v>0</v>
      </c>
      <c r="I71" s="1" t="b">
        <v>1</v>
      </c>
      <c r="J71" s="1" t="b">
        <v>0</v>
      </c>
      <c r="K71" s="10">
        <f>Table1[List Price]/Table1[SqFt]</f>
        <v>114.321608040201</v>
      </c>
      <c r="L71" s="1"/>
    </row>
    <row r="72" spans="1:12" x14ac:dyDescent="0.25">
      <c r="A72" s="2" t="s">
        <v>22</v>
      </c>
      <c r="B72" s="12">
        <v>40114</v>
      </c>
      <c r="C72" s="3" t="s">
        <v>5</v>
      </c>
      <c r="D72" s="4">
        <v>272500</v>
      </c>
      <c r="E72" s="1">
        <v>4</v>
      </c>
      <c r="F72" s="1">
        <v>3</v>
      </c>
      <c r="G72" s="5">
        <v>2006</v>
      </c>
      <c r="H72" s="1" t="s">
        <v>0</v>
      </c>
      <c r="I72" s="1" t="b">
        <v>0</v>
      </c>
      <c r="J72" s="1" t="b">
        <v>0</v>
      </c>
      <c r="K72" s="10">
        <f>Table1[List Price]/Table1[SqFt]</f>
        <v>135.84247258225324</v>
      </c>
      <c r="L72" s="2"/>
    </row>
    <row r="73" spans="1:12" x14ac:dyDescent="0.25">
      <c r="A73" s="2" t="s">
        <v>22</v>
      </c>
      <c r="B73" s="12">
        <v>39905</v>
      </c>
      <c r="C73" s="3" t="s">
        <v>5</v>
      </c>
      <c r="D73" s="4">
        <v>364900</v>
      </c>
      <c r="E73" s="1">
        <v>4</v>
      </c>
      <c r="F73" s="1">
        <v>2.5</v>
      </c>
      <c r="G73" s="5">
        <v>2507</v>
      </c>
      <c r="H73" s="1" t="s">
        <v>0</v>
      </c>
      <c r="I73" s="1" t="b">
        <v>0</v>
      </c>
      <c r="J73" s="1" t="b">
        <v>0</v>
      </c>
      <c r="K73" s="10">
        <f>Table1[List Price]/Table1[SqFt]</f>
        <v>145.55245313123254</v>
      </c>
      <c r="L73" s="1"/>
    </row>
    <row r="74" spans="1:12" x14ac:dyDescent="0.25">
      <c r="A74" s="2" t="s">
        <v>24</v>
      </c>
      <c r="B74" s="12">
        <v>39976</v>
      </c>
      <c r="C74" s="3" t="s">
        <v>6</v>
      </c>
      <c r="D74" s="4">
        <v>349000</v>
      </c>
      <c r="E74" s="1">
        <v>4</v>
      </c>
      <c r="F74" s="1">
        <v>2.5</v>
      </c>
      <c r="G74" s="5">
        <v>2730</v>
      </c>
      <c r="H74" s="1" t="s">
        <v>4</v>
      </c>
      <c r="I74" s="1" t="b">
        <v>1</v>
      </c>
      <c r="J74" s="1" t="b">
        <v>1</v>
      </c>
      <c r="K74" s="10">
        <f>Table1[List Price]/Table1[SqFt]</f>
        <v>127.83882783882784</v>
      </c>
      <c r="L74" s="1"/>
    </row>
    <row r="75" spans="1:12" x14ac:dyDescent="0.25">
      <c r="A75" s="2" t="s">
        <v>21</v>
      </c>
      <c r="B75" s="12">
        <v>40035</v>
      </c>
      <c r="C75" s="3" t="s">
        <v>6</v>
      </c>
      <c r="D75" s="4">
        <v>349000</v>
      </c>
      <c r="E75" s="1">
        <v>4</v>
      </c>
      <c r="F75" s="1">
        <v>3</v>
      </c>
      <c r="G75" s="5">
        <v>3930</v>
      </c>
      <c r="H75" s="1" t="s">
        <v>0</v>
      </c>
      <c r="I75" s="1" t="b">
        <v>1</v>
      </c>
      <c r="J75" s="1" t="b">
        <v>0</v>
      </c>
      <c r="K75" s="10">
        <f>Table1[List Price]/Table1[SqFt]</f>
        <v>88.804071246819333</v>
      </c>
      <c r="L75" s="1"/>
    </row>
    <row r="76" spans="1:12" x14ac:dyDescent="0.25">
      <c r="A76" s="2" t="s">
        <v>14</v>
      </c>
      <c r="B76" s="12">
        <v>40054</v>
      </c>
      <c r="C76" s="3" t="s">
        <v>6</v>
      </c>
      <c r="D76" s="4">
        <v>345000</v>
      </c>
      <c r="E76" s="1">
        <v>4</v>
      </c>
      <c r="F76" s="1">
        <v>3</v>
      </c>
      <c r="G76" s="5">
        <v>2388</v>
      </c>
      <c r="H76" s="1" t="s">
        <v>4</v>
      </c>
      <c r="I76" s="1" t="b">
        <v>1</v>
      </c>
      <c r="J76" s="1" t="b">
        <v>1</v>
      </c>
      <c r="K76" s="10">
        <f>Table1[List Price]/Table1[SqFt]</f>
        <v>144.47236180904522</v>
      </c>
      <c r="L76" s="1"/>
    </row>
    <row r="77" spans="1:12" x14ac:dyDescent="0.25">
      <c r="A77" s="2" t="s">
        <v>22</v>
      </c>
      <c r="B77" s="12">
        <v>40009</v>
      </c>
      <c r="C77" s="3" t="s">
        <v>8</v>
      </c>
      <c r="D77" s="4">
        <v>225000</v>
      </c>
      <c r="E77" s="1">
        <v>4</v>
      </c>
      <c r="F77" s="1">
        <v>3</v>
      </c>
      <c r="G77" s="5">
        <v>2013</v>
      </c>
      <c r="H77" s="1" t="s">
        <v>0</v>
      </c>
      <c r="I77" s="1" t="b">
        <v>1</v>
      </c>
      <c r="J77" s="1" t="b">
        <v>0</v>
      </c>
      <c r="K77" s="10">
        <f>Table1[List Price]/Table1[SqFt]</f>
        <v>111.77347242921013</v>
      </c>
      <c r="L77" s="1"/>
    </row>
    <row r="78" spans="1:12" x14ac:dyDescent="0.25">
      <c r="A78" s="2" t="s">
        <v>22</v>
      </c>
      <c r="B78" s="12">
        <v>39943</v>
      </c>
      <c r="C78" s="6" t="s">
        <v>8</v>
      </c>
      <c r="D78" s="4">
        <v>227500</v>
      </c>
      <c r="E78" s="1">
        <v>4</v>
      </c>
      <c r="F78" s="1">
        <v>3</v>
      </c>
      <c r="G78" s="5">
        <v>1905</v>
      </c>
      <c r="H78" s="1" t="s">
        <v>4</v>
      </c>
      <c r="I78" s="1" t="b">
        <v>0</v>
      </c>
      <c r="J78" s="1" t="b">
        <v>1</v>
      </c>
      <c r="K78" s="10">
        <f>Table1[List Price]/Table1[SqFt]</f>
        <v>119.42257217847769</v>
      </c>
      <c r="L78" s="1"/>
    </row>
    <row r="79" spans="1:12" x14ac:dyDescent="0.25">
      <c r="A79" s="2" t="s">
        <v>22</v>
      </c>
      <c r="B79" s="12">
        <v>39947</v>
      </c>
      <c r="C79" s="3" t="s">
        <v>8</v>
      </c>
      <c r="D79" s="4">
        <v>240000</v>
      </c>
      <c r="E79" s="1">
        <v>3</v>
      </c>
      <c r="F79" s="1">
        <v>2.5</v>
      </c>
      <c r="G79" s="5">
        <v>1595</v>
      </c>
      <c r="H79" s="1" t="s">
        <v>4</v>
      </c>
      <c r="I79" s="1" t="b">
        <v>0</v>
      </c>
      <c r="J79" s="1" t="b">
        <v>1</v>
      </c>
      <c r="K79" s="10">
        <f>Table1[List Price]/Table1[SqFt]</f>
        <v>150.47021943573668</v>
      </c>
      <c r="L79" s="2"/>
    </row>
    <row r="80" spans="1:12" x14ac:dyDescent="0.25">
      <c r="A80" s="2" t="s">
        <v>22</v>
      </c>
      <c r="B80" s="12">
        <v>39890</v>
      </c>
      <c r="C80" s="3" t="s">
        <v>8</v>
      </c>
      <c r="D80" s="4">
        <v>269900</v>
      </c>
      <c r="E80" s="1">
        <v>4</v>
      </c>
      <c r="F80" s="1">
        <v>2.5</v>
      </c>
      <c r="G80" s="5">
        <v>1911</v>
      </c>
      <c r="H80" s="1" t="s">
        <v>0</v>
      </c>
      <c r="I80" s="1" t="b">
        <v>0</v>
      </c>
      <c r="J80" s="1" t="b">
        <v>0</v>
      </c>
      <c r="K80" s="10">
        <f>Table1[List Price]/Table1[SqFt]</f>
        <v>141.23495552066981</v>
      </c>
      <c r="L80" s="1"/>
    </row>
    <row r="81" spans="1:12" x14ac:dyDescent="0.25">
      <c r="A81" s="2" t="s">
        <v>22</v>
      </c>
      <c r="B81" s="12">
        <v>39933</v>
      </c>
      <c r="C81" s="3" t="s">
        <v>8</v>
      </c>
      <c r="D81" s="4">
        <v>297500</v>
      </c>
      <c r="E81" s="1">
        <v>4</v>
      </c>
      <c r="F81" s="1">
        <v>3.5</v>
      </c>
      <c r="G81" s="5">
        <v>2170</v>
      </c>
      <c r="H81" s="1" t="s">
        <v>0</v>
      </c>
      <c r="I81" s="1" t="b">
        <v>0</v>
      </c>
      <c r="J81" s="1" t="b">
        <v>1</v>
      </c>
      <c r="K81" s="10">
        <f>Table1[List Price]/Table1[SqFt]</f>
        <v>137.09677419354838</v>
      </c>
      <c r="L81" s="1"/>
    </row>
    <row r="82" spans="1:12" x14ac:dyDescent="0.25">
      <c r="A82" s="2" t="s">
        <v>22</v>
      </c>
      <c r="B82" s="12">
        <v>40065</v>
      </c>
      <c r="C82" s="3" t="s">
        <v>8</v>
      </c>
      <c r="D82" s="4">
        <v>317500</v>
      </c>
      <c r="E82" s="1">
        <v>4</v>
      </c>
      <c r="F82" s="1">
        <v>3</v>
      </c>
      <c r="G82" s="5">
        <v>2367</v>
      </c>
      <c r="H82" s="1" t="s">
        <v>0</v>
      </c>
      <c r="I82" s="1" t="b">
        <v>0</v>
      </c>
      <c r="J82" s="1" t="b">
        <v>0</v>
      </c>
      <c r="K82" s="10">
        <f>Table1[List Price]/Table1[SqFt]</f>
        <v>134.13603717786228</v>
      </c>
      <c r="L82" s="1"/>
    </row>
    <row r="83" spans="1:12" x14ac:dyDescent="0.25">
      <c r="A83" s="2" t="s">
        <v>22</v>
      </c>
      <c r="B83" s="12">
        <v>40101</v>
      </c>
      <c r="C83" s="3" t="s">
        <v>8</v>
      </c>
      <c r="D83" s="4">
        <v>339900</v>
      </c>
      <c r="E83" s="1">
        <v>4</v>
      </c>
      <c r="F83" s="1">
        <v>3</v>
      </c>
      <c r="G83" s="5">
        <v>2687</v>
      </c>
      <c r="H83" s="1" t="s">
        <v>0</v>
      </c>
      <c r="I83" s="1" t="b">
        <v>0</v>
      </c>
      <c r="J83" s="1" t="b">
        <v>1</v>
      </c>
      <c r="K83" s="10">
        <f>Table1[List Price]/Table1[SqFt]</f>
        <v>126.49795310755489</v>
      </c>
      <c r="L83" s="1"/>
    </row>
    <row r="84" spans="1:12" x14ac:dyDescent="0.25">
      <c r="A84" s="2" t="s">
        <v>22</v>
      </c>
      <c r="B84" s="12">
        <v>40076</v>
      </c>
      <c r="C84" s="3" t="s">
        <v>8</v>
      </c>
      <c r="D84" s="4">
        <v>365000</v>
      </c>
      <c r="E84" s="1">
        <v>5</v>
      </c>
      <c r="F84" s="1">
        <v>3</v>
      </c>
      <c r="G84" s="5">
        <v>3938</v>
      </c>
      <c r="H84" s="1" t="s">
        <v>0</v>
      </c>
      <c r="I84" s="1" t="b">
        <v>0</v>
      </c>
      <c r="J84" s="1" t="b">
        <v>0</v>
      </c>
      <c r="K84" s="10">
        <f>Table1[List Price]/Table1[SqFt]</f>
        <v>92.686642965972581</v>
      </c>
      <c r="L84" s="1"/>
    </row>
    <row r="85" spans="1:12" x14ac:dyDescent="0.25">
      <c r="A85" s="2" t="s">
        <v>19</v>
      </c>
      <c r="B85" s="12">
        <v>40078</v>
      </c>
      <c r="C85" s="3" t="s">
        <v>5</v>
      </c>
      <c r="D85" s="4">
        <v>149900</v>
      </c>
      <c r="E85" s="1">
        <v>2</v>
      </c>
      <c r="F85" s="1">
        <v>1</v>
      </c>
      <c r="G85" s="5">
        <v>1234</v>
      </c>
      <c r="H85" s="1" t="s">
        <v>0</v>
      </c>
      <c r="I85" s="1" t="b">
        <v>0</v>
      </c>
      <c r="J85" s="1" t="b">
        <v>0</v>
      </c>
      <c r="K85" s="10">
        <f>Table1[List Price]/Table1[SqFt]</f>
        <v>121.47487844408428</v>
      </c>
      <c r="L85" s="1"/>
    </row>
    <row r="86" spans="1:12" x14ac:dyDescent="0.25">
      <c r="A86" s="2" t="s">
        <v>19</v>
      </c>
      <c r="B86" s="12">
        <v>39870</v>
      </c>
      <c r="C86" s="3" t="s">
        <v>5</v>
      </c>
      <c r="D86" s="4">
        <v>242500</v>
      </c>
      <c r="E86" s="1">
        <v>3</v>
      </c>
      <c r="F86" s="1">
        <v>2.5</v>
      </c>
      <c r="G86" s="5">
        <v>1902</v>
      </c>
      <c r="H86" s="1" t="s">
        <v>0</v>
      </c>
      <c r="I86" s="1" t="b">
        <v>0</v>
      </c>
      <c r="J86" s="1" t="b">
        <v>1</v>
      </c>
      <c r="K86" s="10">
        <f>Table1[List Price]/Table1[SqFt]</f>
        <v>127.49737118822293</v>
      </c>
      <c r="L86" s="1"/>
    </row>
    <row r="87" spans="1:12" x14ac:dyDescent="0.25">
      <c r="A87" s="2" t="s">
        <v>19</v>
      </c>
      <c r="B87" s="12">
        <v>40111</v>
      </c>
      <c r="C87" s="3" t="s">
        <v>5</v>
      </c>
      <c r="D87" s="4">
        <v>290000</v>
      </c>
      <c r="E87" s="1">
        <v>4</v>
      </c>
      <c r="F87" s="1">
        <v>2</v>
      </c>
      <c r="G87" s="5">
        <v>2400</v>
      </c>
      <c r="H87" s="1" t="s">
        <v>0</v>
      </c>
      <c r="I87" s="1" t="b">
        <v>0</v>
      </c>
      <c r="J87" s="1" t="b">
        <v>0</v>
      </c>
      <c r="K87" s="10">
        <f>Table1[List Price]/Table1[SqFt]</f>
        <v>120.83333333333333</v>
      </c>
      <c r="L87" s="1"/>
    </row>
    <row r="88" spans="1:12" x14ac:dyDescent="0.25">
      <c r="A88" s="2" t="s">
        <v>19</v>
      </c>
      <c r="B88" s="12">
        <v>40056</v>
      </c>
      <c r="C88" s="3" t="s">
        <v>5</v>
      </c>
      <c r="D88" s="4">
        <v>389900</v>
      </c>
      <c r="E88" s="1">
        <v>4</v>
      </c>
      <c r="F88" s="1">
        <v>2.5</v>
      </c>
      <c r="G88" s="5">
        <v>2284</v>
      </c>
      <c r="H88" s="1" t="s">
        <v>0</v>
      </c>
      <c r="I88" s="1" t="b">
        <v>0</v>
      </c>
      <c r="J88" s="1" t="b">
        <v>1</v>
      </c>
      <c r="K88" s="10">
        <f>Table1[List Price]/Table1[SqFt]</f>
        <v>170.70928196147111</v>
      </c>
      <c r="L88" s="1"/>
    </row>
    <row r="89" spans="1:12" x14ac:dyDescent="0.25">
      <c r="A89" s="2" t="s">
        <v>24</v>
      </c>
      <c r="B89" s="12">
        <v>39937</v>
      </c>
      <c r="C89" s="3" t="s">
        <v>6</v>
      </c>
      <c r="D89" s="4">
        <v>339900</v>
      </c>
      <c r="E89" s="1">
        <v>3</v>
      </c>
      <c r="F89" s="1">
        <v>2</v>
      </c>
      <c r="G89" s="5">
        <v>1828</v>
      </c>
      <c r="H89" s="1" t="s">
        <v>0</v>
      </c>
      <c r="I89" s="1" t="b">
        <v>1</v>
      </c>
      <c r="J89" s="1" t="b">
        <v>1</v>
      </c>
      <c r="K89" s="10">
        <f>Table1[List Price]/Table1[SqFt]</f>
        <v>185.94091903719914</v>
      </c>
      <c r="L89" s="1"/>
    </row>
    <row r="90" spans="1:12" x14ac:dyDescent="0.25">
      <c r="A90" s="2" t="s">
        <v>22</v>
      </c>
      <c r="B90" s="12">
        <v>39929</v>
      </c>
      <c r="C90" s="3" t="s">
        <v>6</v>
      </c>
      <c r="D90" s="4">
        <v>309900</v>
      </c>
      <c r="E90" s="1">
        <v>5</v>
      </c>
      <c r="F90" s="1">
        <v>3</v>
      </c>
      <c r="G90" s="5">
        <v>2447</v>
      </c>
      <c r="H90" s="1" t="s">
        <v>4</v>
      </c>
      <c r="I90" s="1" t="b">
        <v>1</v>
      </c>
      <c r="J90" s="1" t="b">
        <v>0</v>
      </c>
      <c r="K90" s="10">
        <f>Table1[List Price]/Table1[SqFt]</f>
        <v>126.64487127094401</v>
      </c>
      <c r="L90" s="1"/>
    </row>
    <row r="91" spans="1:12" x14ac:dyDescent="0.25">
      <c r="A91" s="2" t="s">
        <v>19</v>
      </c>
      <c r="B91" s="12">
        <v>40025</v>
      </c>
      <c r="C91" s="3" t="s">
        <v>8</v>
      </c>
      <c r="D91" s="4">
        <v>205500</v>
      </c>
      <c r="E91" s="1">
        <v>4</v>
      </c>
      <c r="F91" s="1">
        <v>2.5</v>
      </c>
      <c r="G91" s="5">
        <v>1751</v>
      </c>
      <c r="H91" s="1" t="s">
        <v>0</v>
      </c>
      <c r="I91" s="1" t="b">
        <v>0</v>
      </c>
      <c r="J91" s="1" t="b">
        <v>0</v>
      </c>
      <c r="K91" s="10">
        <f>Table1[List Price]/Table1[SqFt]</f>
        <v>117.36150770988007</v>
      </c>
      <c r="L91" s="1"/>
    </row>
    <row r="92" spans="1:12" x14ac:dyDescent="0.25">
      <c r="A92" s="2" t="s">
        <v>16</v>
      </c>
      <c r="B92" s="12">
        <v>40079</v>
      </c>
      <c r="C92" s="6" t="s">
        <v>5</v>
      </c>
      <c r="D92" s="4">
        <v>239900</v>
      </c>
      <c r="E92" s="1">
        <v>4</v>
      </c>
      <c r="F92" s="1">
        <v>3</v>
      </c>
      <c r="G92" s="5">
        <v>2278</v>
      </c>
      <c r="H92" s="1" t="s">
        <v>0</v>
      </c>
      <c r="I92" s="1" t="b">
        <v>0</v>
      </c>
      <c r="J92" s="1" t="b">
        <v>0</v>
      </c>
      <c r="K92" s="10">
        <f>Table1[List Price]/Table1[SqFt]</f>
        <v>105.3116769095698</v>
      </c>
      <c r="L92" s="1"/>
    </row>
    <row r="93" spans="1:12" x14ac:dyDescent="0.25">
      <c r="A93" s="2" t="s">
        <v>16</v>
      </c>
      <c r="B93" s="12">
        <v>40045</v>
      </c>
      <c r="C93" s="3" t="s">
        <v>5</v>
      </c>
      <c r="D93" s="4">
        <v>338876</v>
      </c>
      <c r="E93" s="1">
        <v>4</v>
      </c>
      <c r="F93" s="1">
        <v>3</v>
      </c>
      <c r="G93" s="5">
        <v>2483</v>
      </c>
      <c r="H93" s="1" t="s">
        <v>0</v>
      </c>
      <c r="I93" s="1" t="b">
        <v>1</v>
      </c>
      <c r="J93" s="1" t="b">
        <v>0</v>
      </c>
      <c r="K93" s="10">
        <f>Table1[List Price]/Table1[SqFt]</f>
        <v>136.47845348368909</v>
      </c>
      <c r="L93" s="1"/>
    </row>
    <row r="94" spans="1:12" x14ac:dyDescent="0.25">
      <c r="A94" s="2" t="s">
        <v>16</v>
      </c>
      <c r="B94" s="12">
        <v>39857</v>
      </c>
      <c r="C94" s="3" t="s">
        <v>5</v>
      </c>
      <c r="D94" s="4">
        <v>375000</v>
      </c>
      <c r="E94" s="1">
        <v>4</v>
      </c>
      <c r="F94" s="1">
        <v>3</v>
      </c>
      <c r="G94" s="5">
        <v>2368</v>
      </c>
      <c r="H94" s="1" t="s">
        <v>0</v>
      </c>
      <c r="I94" s="1" t="b">
        <v>1</v>
      </c>
      <c r="J94" s="1" t="b">
        <v>1</v>
      </c>
      <c r="K94" s="10">
        <f>Table1[List Price]/Table1[SqFt]</f>
        <v>158.36148648648648</v>
      </c>
      <c r="L94" s="1"/>
    </row>
    <row r="95" spans="1:12" x14ac:dyDescent="0.25">
      <c r="A95" s="2" t="s">
        <v>14</v>
      </c>
      <c r="B95" s="12">
        <v>39898</v>
      </c>
      <c r="C95" s="3" t="s">
        <v>6</v>
      </c>
      <c r="D95" s="4">
        <v>299000</v>
      </c>
      <c r="E95" s="1">
        <v>3</v>
      </c>
      <c r="F95" s="1">
        <v>2</v>
      </c>
      <c r="G95" s="5">
        <v>2050</v>
      </c>
      <c r="H95" s="1" t="s">
        <v>4</v>
      </c>
      <c r="I95" s="1" t="b">
        <v>0</v>
      </c>
      <c r="J95" s="1" t="b">
        <v>0</v>
      </c>
      <c r="K95" s="10">
        <f>Table1[List Price]/Table1[SqFt]</f>
        <v>145.85365853658536</v>
      </c>
      <c r="L95" s="1"/>
    </row>
    <row r="96" spans="1:12" x14ac:dyDescent="0.25">
      <c r="A96" s="2" t="s">
        <v>14</v>
      </c>
      <c r="B96" s="12">
        <v>39905</v>
      </c>
      <c r="C96" s="3" t="s">
        <v>6</v>
      </c>
      <c r="D96" s="4">
        <v>264900</v>
      </c>
      <c r="E96" s="1">
        <v>3</v>
      </c>
      <c r="F96" s="1">
        <v>3</v>
      </c>
      <c r="G96" s="5">
        <v>2495</v>
      </c>
      <c r="H96" s="1" t="s">
        <v>4</v>
      </c>
      <c r="I96" s="1" t="b">
        <v>0</v>
      </c>
      <c r="J96" s="1" t="b">
        <v>0</v>
      </c>
      <c r="K96" s="10">
        <f>Table1[List Price]/Table1[SqFt]</f>
        <v>106.17234468937876</v>
      </c>
      <c r="L96" s="1"/>
    </row>
    <row r="97" spans="1:12" x14ac:dyDescent="0.25">
      <c r="A97" s="2" t="s">
        <v>16</v>
      </c>
      <c r="B97" s="12">
        <v>39917</v>
      </c>
      <c r="C97" s="3" t="s">
        <v>8</v>
      </c>
      <c r="D97" s="4">
        <v>215000</v>
      </c>
      <c r="E97" s="1">
        <v>1</v>
      </c>
      <c r="F97" s="1">
        <v>2</v>
      </c>
      <c r="G97" s="5">
        <v>1552</v>
      </c>
      <c r="H97" s="1" t="s">
        <v>4</v>
      </c>
      <c r="I97" s="1" t="b">
        <v>0</v>
      </c>
      <c r="J97" s="1" t="b">
        <v>1</v>
      </c>
      <c r="K97" s="10">
        <f>Table1[List Price]/Table1[SqFt]</f>
        <v>138.53092783505156</v>
      </c>
      <c r="L97" s="1"/>
    </row>
    <row r="98" spans="1:12" x14ac:dyDescent="0.25">
      <c r="A98" s="2" t="s">
        <v>16</v>
      </c>
      <c r="B98" s="12">
        <v>40072</v>
      </c>
      <c r="C98" s="3" t="s">
        <v>8</v>
      </c>
      <c r="D98" s="4">
        <v>300000</v>
      </c>
      <c r="E98" s="1">
        <v>4</v>
      </c>
      <c r="F98" s="1">
        <v>3</v>
      </c>
      <c r="G98" s="5">
        <v>2650</v>
      </c>
      <c r="H98" s="1" t="s">
        <v>4</v>
      </c>
      <c r="I98" s="1" t="b">
        <v>0</v>
      </c>
      <c r="J98" s="1" t="b">
        <v>0</v>
      </c>
      <c r="K98" s="10">
        <f>Table1[List Price]/Table1[SqFt]</f>
        <v>113.20754716981132</v>
      </c>
      <c r="L98" s="1"/>
    </row>
    <row r="99" spans="1:12" x14ac:dyDescent="0.25">
      <c r="A99" s="2" t="s">
        <v>16</v>
      </c>
      <c r="B99" s="12">
        <v>40033</v>
      </c>
      <c r="C99" s="6" t="s">
        <v>8</v>
      </c>
      <c r="D99" s="4">
        <v>349000</v>
      </c>
      <c r="E99" s="1">
        <v>4</v>
      </c>
      <c r="F99" s="1">
        <v>3</v>
      </c>
      <c r="G99" s="5">
        <v>1838</v>
      </c>
      <c r="H99" s="1" t="s">
        <v>0</v>
      </c>
      <c r="I99" s="1" t="b">
        <v>0</v>
      </c>
      <c r="J99" s="1" t="b">
        <v>0</v>
      </c>
      <c r="K99" s="10">
        <f>Table1[List Price]/Table1[SqFt]</f>
        <v>189.88030467899893</v>
      </c>
      <c r="L99" s="1"/>
    </row>
    <row r="100" spans="1:12" x14ac:dyDescent="0.25">
      <c r="A100" s="2" t="s">
        <v>17</v>
      </c>
      <c r="B100" s="12">
        <v>39907</v>
      </c>
      <c r="C100" s="6" t="s">
        <v>5</v>
      </c>
      <c r="D100" s="4">
        <v>235910</v>
      </c>
      <c r="E100" s="1">
        <v>4</v>
      </c>
      <c r="F100" s="1">
        <v>3</v>
      </c>
      <c r="G100" s="5">
        <v>2285</v>
      </c>
      <c r="H100" s="1" t="s">
        <v>0</v>
      </c>
      <c r="I100" s="1" t="b">
        <v>1</v>
      </c>
      <c r="J100" s="1" t="b">
        <v>1</v>
      </c>
      <c r="K100" s="10">
        <f>Table1[List Price]/Table1[SqFt]</f>
        <v>103.24288840262582</v>
      </c>
      <c r="L100" s="1"/>
    </row>
    <row r="101" spans="1:12" x14ac:dyDescent="0.25">
      <c r="A101" s="2" t="s">
        <v>17</v>
      </c>
      <c r="B101" s="12">
        <v>39953</v>
      </c>
      <c r="C101" s="3" t="s">
        <v>5</v>
      </c>
      <c r="D101" s="4">
        <v>250000</v>
      </c>
      <c r="E101" s="1">
        <v>3</v>
      </c>
      <c r="F101" s="1">
        <v>2</v>
      </c>
      <c r="G101" s="5">
        <v>2066</v>
      </c>
      <c r="H101" s="1" t="s">
        <v>0</v>
      </c>
      <c r="I101" s="1" t="b">
        <v>0</v>
      </c>
      <c r="J101" s="1" t="b">
        <v>0</v>
      </c>
      <c r="K101" s="10">
        <f>Table1[List Price]/Table1[SqFt]</f>
        <v>121.00677637947724</v>
      </c>
      <c r="L101" s="1"/>
    </row>
    <row r="102" spans="1:12" x14ac:dyDescent="0.25">
      <c r="A102" s="2" t="s">
        <v>21</v>
      </c>
      <c r="B102" s="12">
        <v>40067</v>
      </c>
      <c r="C102" s="3" t="s">
        <v>6</v>
      </c>
      <c r="D102" s="4">
        <v>264900</v>
      </c>
      <c r="E102" s="1">
        <v>3</v>
      </c>
      <c r="F102" s="1">
        <v>2.5</v>
      </c>
      <c r="G102" s="5">
        <v>2062</v>
      </c>
      <c r="H102" s="1" t="s">
        <v>4</v>
      </c>
      <c r="I102" s="1" t="b">
        <v>0</v>
      </c>
      <c r="J102" s="1" t="b">
        <v>0</v>
      </c>
      <c r="K102" s="10">
        <f>Table1[List Price]/Table1[SqFt]</f>
        <v>128.4675072744908</v>
      </c>
      <c r="L102" s="1"/>
    </row>
    <row r="103" spans="1:12" x14ac:dyDescent="0.25">
      <c r="A103" s="2" t="s">
        <v>19</v>
      </c>
      <c r="B103" s="12">
        <v>39943</v>
      </c>
      <c r="C103" s="3" t="s">
        <v>6</v>
      </c>
      <c r="D103" s="4">
        <v>259900</v>
      </c>
      <c r="E103" s="1">
        <v>3</v>
      </c>
      <c r="F103" s="1">
        <v>2.5</v>
      </c>
      <c r="G103" s="5">
        <v>2122</v>
      </c>
      <c r="H103" s="1" t="s">
        <v>4</v>
      </c>
      <c r="I103" s="1" t="b">
        <v>0</v>
      </c>
      <c r="J103" s="1" t="b">
        <v>1</v>
      </c>
      <c r="K103" s="10">
        <f>Table1[List Price]/Table1[SqFt]</f>
        <v>122.47879359095194</v>
      </c>
      <c r="L103" s="1"/>
    </row>
    <row r="104" spans="1:12" x14ac:dyDescent="0.25">
      <c r="A104" s="2" t="s">
        <v>22</v>
      </c>
      <c r="B104" s="12">
        <v>39937</v>
      </c>
      <c r="C104" s="3" t="s">
        <v>6</v>
      </c>
      <c r="D104" s="4">
        <v>259900</v>
      </c>
      <c r="E104" s="1">
        <v>4</v>
      </c>
      <c r="F104" s="1">
        <v>3</v>
      </c>
      <c r="G104" s="5">
        <v>1734</v>
      </c>
      <c r="H104" s="1" t="s">
        <v>4</v>
      </c>
      <c r="I104" s="1" t="b">
        <v>0</v>
      </c>
      <c r="J104" s="1" t="b">
        <v>1</v>
      </c>
      <c r="K104" s="10">
        <f>Table1[List Price]/Table1[SqFt]</f>
        <v>149.88465974625143</v>
      </c>
      <c r="L104" s="1"/>
    </row>
    <row r="105" spans="1:12" x14ac:dyDescent="0.25">
      <c r="A105" s="2" t="s">
        <v>25</v>
      </c>
      <c r="B105" s="12">
        <v>39931</v>
      </c>
      <c r="C105" s="3" t="s">
        <v>6</v>
      </c>
      <c r="D105" s="4">
        <v>248500</v>
      </c>
      <c r="E105" s="1">
        <v>4</v>
      </c>
      <c r="F105" s="1">
        <v>2.5</v>
      </c>
      <c r="G105" s="5">
        <v>2101</v>
      </c>
      <c r="H105" s="1" t="s">
        <v>0</v>
      </c>
      <c r="I105" s="1" t="b">
        <v>1</v>
      </c>
      <c r="J105" s="1" t="b">
        <v>1</v>
      </c>
      <c r="K105" s="10">
        <f>Table1[List Price]/Table1[SqFt]</f>
        <v>118.27701094716801</v>
      </c>
      <c r="L105" s="1"/>
    </row>
    <row r="106" spans="1:12" x14ac:dyDescent="0.25">
      <c r="A106" s="2" t="s">
        <v>17</v>
      </c>
      <c r="B106" s="12">
        <v>40070</v>
      </c>
      <c r="C106" s="3" t="s">
        <v>8</v>
      </c>
      <c r="D106" s="4">
        <v>229500</v>
      </c>
      <c r="E106" s="1">
        <v>3</v>
      </c>
      <c r="F106" s="1">
        <v>2</v>
      </c>
      <c r="G106" s="5">
        <v>1694</v>
      </c>
      <c r="H106" s="1" t="s">
        <v>0</v>
      </c>
      <c r="I106" s="1" t="b">
        <v>0</v>
      </c>
      <c r="J106" s="1" t="b">
        <v>0</v>
      </c>
      <c r="K106" s="10">
        <f>Table1[List Price]/Table1[SqFt]</f>
        <v>135.47815820543093</v>
      </c>
      <c r="L106" s="1"/>
    </row>
    <row r="107" spans="1:12" x14ac:dyDescent="0.25">
      <c r="A107" s="2" t="s">
        <v>20</v>
      </c>
      <c r="B107" s="12">
        <v>39985</v>
      </c>
      <c r="C107" s="6" t="s">
        <v>5</v>
      </c>
      <c r="D107" s="4">
        <v>119000</v>
      </c>
      <c r="E107" s="1">
        <v>1</v>
      </c>
      <c r="F107" s="1">
        <v>1</v>
      </c>
      <c r="G107" s="5">
        <v>950</v>
      </c>
      <c r="H107" s="1" t="s">
        <v>4</v>
      </c>
      <c r="I107" s="1" t="b">
        <v>0</v>
      </c>
      <c r="J107" s="1" t="b">
        <v>0</v>
      </c>
      <c r="K107" s="10">
        <f>Table1[List Price]/Table1[SqFt]</f>
        <v>125.26315789473684</v>
      </c>
      <c r="L107" s="1"/>
    </row>
    <row r="108" spans="1:12" x14ac:dyDescent="0.25">
      <c r="A108" s="2" t="s">
        <v>20</v>
      </c>
      <c r="B108" s="12">
        <v>39915</v>
      </c>
      <c r="C108" s="6" t="s">
        <v>5</v>
      </c>
      <c r="D108" s="4">
        <v>215000</v>
      </c>
      <c r="E108" s="1">
        <v>3</v>
      </c>
      <c r="F108" s="1">
        <v>1.75</v>
      </c>
      <c r="G108" s="5">
        <v>2157</v>
      </c>
      <c r="H108" s="1" t="s">
        <v>0</v>
      </c>
      <c r="I108" s="1" t="b">
        <v>1</v>
      </c>
      <c r="J108" s="1" t="b">
        <v>1</v>
      </c>
      <c r="K108" s="10">
        <f>Table1[List Price]/Table1[SqFt]</f>
        <v>99.67547519703291</v>
      </c>
      <c r="L108" s="1"/>
    </row>
    <row r="109" spans="1:12" x14ac:dyDescent="0.25">
      <c r="A109" s="2" t="s">
        <v>20</v>
      </c>
      <c r="B109" s="12">
        <v>39969</v>
      </c>
      <c r="C109" s="3" t="s">
        <v>5</v>
      </c>
      <c r="D109" s="4">
        <v>319000</v>
      </c>
      <c r="E109" s="1">
        <v>3</v>
      </c>
      <c r="F109" s="1">
        <v>2.5</v>
      </c>
      <c r="G109" s="5">
        <v>2586</v>
      </c>
      <c r="H109" s="1" t="s">
        <v>4</v>
      </c>
      <c r="I109" s="1" t="b">
        <v>0</v>
      </c>
      <c r="J109" s="1" t="b">
        <v>0</v>
      </c>
      <c r="K109" s="10">
        <f>Table1[List Price]/Table1[SqFt]</f>
        <v>123.35653518948183</v>
      </c>
      <c r="L109" s="1"/>
    </row>
    <row r="110" spans="1:12" x14ac:dyDescent="0.25">
      <c r="A110" s="2" t="s">
        <v>20</v>
      </c>
      <c r="B110" s="12">
        <v>39971</v>
      </c>
      <c r="C110" s="3" t="s">
        <v>5</v>
      </c>
      <c r="D110" s="4">
        <v>335000</v>
      </c>
      <c r="E110" s="1">
        <v>3</v>
      </c>
      <c r="F110" s="1">
        <v>2.5</v>
      </c>
      <c r="G110" s="5">
        <v>2000</v>
      </c>
      <c r="H110" s="1" t="s">
        <v>0</v>
      </c>
      <c r="I110" s="1" t="b">
        <v>1</v>
      </c>
      <c r="J110" s="1" t="b">
        <v>1</v>
      </c>
      <c r="K110" s="10">
        <f>Table1[List Price]/Table1[SqFt]</f>
        <v>167.5</v>
      </c>
      <c r="L110" s="1"/>
    </row>
    <row r="111" spans="1:12" x14ac:dyDescent="0.25">
      <c r="A111" s="2" t="s">
        <v>20</v>
      </c>
      <c r="B111" s="12">
        <v>39873</v>
      </c>
      <c r="C111" s="3" t="s">
        <v>5</v>
      </c>
      <c r="D111" s="4">
        <v>350000</v>
      </c>
      <c r="E111" s="1">
        <v>3</v>
      </c>
      <c r="F111" s="1">
        <v>2</v>
      </c>
      <c r="G111" s="5">
        <v>2275</v>
      </c>
      <c r="H111" s="1" t="s">
        <v>0</v>
      </c>
      <c r="I111" s="1" t="b">
        <v>1</v>
      </c>
      <c r="J111" s="1" t="b">
        <v>0</v>
      </c>
      <c r="K111" s="10">
        <f>Table1[List Price]/Table1[SqFt]</f>
        <v>153.84615384615384</v>
      </c>
      <c r="L111" s="2"/>
    </row>
    <row r="112" spans="1:12" x14ac:dyDescent="0.25">
      <c r="A112" s="2" t="s">
        <v>20</v>
      </c>
      <c r="B112" s="12">
        <v>39929</v>
      </c>
      <c r="C112" s="6" t="s">
        <v>5</v>
      </c>
      <c r="D112" s="4">
        <v>365000</v>
      </c>
      <c r="E112" s="1">
        <v>3</v>
      </c>
      <c r="F112" s="1">
        <v>2.5</v>
      </c>
      <c r="G112" s="5">
        <v>1871</v>
      </c>
      <c r="H112" s="1" t="s">
        <v>0</v>
      </c>
      <c r="I112" s="1" t="b">
        <v>0</v>
      </c>
      <c r="J112" s="1" t="b">
        <v>0</v>
      </c>
      <c r="K112" s="10">
        <f>Table1[List Price]/Table1[SqFt]</f>
        <v>195.08284339925174</v>
      </c>
      <c r="L112" s="1"/>
    </row>
    <row r="113" spans="1:12" x14ac:dyDescent="0.25">
      <c r="A113" s="2" t="s">
        <v>20</v>
      </c>
      <c r="B113" s="12">
        <v>39959</v>
      </c>
      <c r="C113" s="3" t="s">
        <v>5</v>
      </c>
      <c r="D113" s="4">
        <v>625000</v>
      </c>
      <c r="E113" s="1">
        <v>6</v>
      </c>
      <c r="F113" s="1">
        <v>4</v>
      </c>
      <c r="G113" s="5">
        <v>3950</v>
      </c>
      <c r="H113" s="1" t="s">
        <v>0</v>
      </c>
      <c r="I113" s="1" t="b">
        <v>1</v>
      </c>
      <c r="J113" s="1" t="b">
        <v>0</v>
      </c>
      <c r="K113" s="10">
        <f>Table1[List Price]/Table1[SqFt]</f>
        <v>158.22784810126583</v>
      </c>
      <c r="L113" s="2"/>
    </row>
    <row r="114" spans="1:12" x14ac:dyDescent="0.25">
      <c r="A114" s="2" t="s">
        <v>14</v>
      </c>
      <c r="B114" s="12">
        <v>40102</v>
      </c>
      <c r="C114" s="3" t="s">
        <v>6</v>
      </c>
      <c r="D114" s="4">
        <v>239900</v>
      </c>
      <c r="E114" s="1">
        <v>4</v>
      </c>
      <c r="F114" s="1">
        <v>3</v>
      </c>
      <c r="G114" s="5">
        <v>2041</v>
      </c>
      <c r="H114" s="1" t="s">
        <v>4</v>
      </c>
      <c r="I114" s="1" t="b">
        <v>0</v>
      </c>
      <c r="J114" s="1" t="b">
        <v>0</v>
      </c>
      <c r="K114" s="10">
        <f>Table1[List Price]/Table1[SqFt]</f>
        <v>117.54042136207741</v>
      </c>
      <c r="L114" s="1"/>
    </row>
    <row r="115" spans="1:12" x14ac:dyDescent="0.25">
      <c r="A115" s="2" t="s">
        <v>25</v>
      </c>
      <c r="B115" s="12">
        <v>39944</v>
      </c>
      <c r="C115" s="3" t="s">
        <v>6</v>
      </c>
      <c r="D115" s="4">
        <v>238000</v>
      </c>
      <c r="E115" s="1">
        <v>4</v>
      </c>
      <c r="F115" s="1">
        <v>2.5</v>
      </c>
      <c r="G115" s="5">
        <v>1590</v>
      </c>
      <c r="H115" s="1" t="s">
        <v>4</v>
      </c>
      <c r="I115" s="1" t="b">
        <v>0</v>
      </c>
      <c r="J115" s="1" t="b">
        <v>1</v>
      </c>
      <c r="K115" s="10">
        <f>Table1[List Price]/Table1[SqFt]</f>
        <v>149.68553459119497</v>
      </c>
      <c r="L115" s="1"/>
    </row>
    <row r="116" spans="1:12" x14ac:dyDescent="0.25">
      <c r="A116" s="2" t="s">
        <v>22</v>
      </c>
      <c r="B116" s="12">
        <v>40001</v>
      </c>
      <c r="C116" s="3" t="s">
        <v>6</v>
      </c>
      <c r="D116" s="4">
        <v>235990</v>
      </c>
      <c r="E116" s="1">
        <v>4</v>
      </c>
      <c r="F116" s="1">
        <v>2</v>
      </c>
      <c r="G116" s="5">
        <v>1656</v>
      </c>
      <c r="H116" s="1" t="s">
        <v>4</v>
      </c>
      <c r="I116" s="1" t="b">
        <v>1</v>
      </c>
      <c r="J116" s="1" t="b">
        <v>0</v>
      </c>
      <c r="K116" s="10">
        <f>Table1[List Price]/Table1[SqFt]</f>
        <v>142.50603864734299</v>
      </c>
      <c r="L116" s="1"/>
    </row>
    <row r="117" spans="1:12" x14ac:dyDescent="0.25">
      <c r="A117" s="2" t="s">
        <v>23</v>
      </c>
      <c r="B117" s="12">
        <v>39943</v>
      </c>
      <c r="C117" s="6" t="s">
        <v>6</v>
      </c>
      <c r="D117" s="4">
        <v>229900</v>
      </c>
      <c r="E117" s="1">
        <v>3</v>
      </c>
      <c r="F117" s="1">
        <v>3</v>
      </c>
      <c r="G117" s="5">
        <v>2266</v>
      </c>
      <c r="H117" s="1" t="s">
        <v>4</v>
      </c>
      <c r="I117" s="1" t="b">
        <v>0</v>
      </c>
      <c r="J117" s="1" t="b">
        <v>0</v>
      </c>
      <c r="K117" s="10">
        <f>Table1[List Price]/Table1[SqFt]</f>
        <v>101.45631067961165</v>
      </c>
      <c r="L117" s="1"/>
    </row>
    <row r="118" spans="1:12" x14ac:dyDescent="0.25">
      <c r="A118" s="2" t="s">
        <v>23</v>
      </c>
      <c r="B118" s="12">
        <v>39979</v>
      </c>
      <c r="C118" s="3" t="s">
        <v>6</v>
      </c>
      <c r="D118" s="4">
        <v>229900</v>
      </c>
      <c r="E118" s="1">
        <v>4</v>
      </c>
      <c r="F118" s="1">
        <v>3</v>
      </c>
      <c r="G118" s="5">
        <v>2041</v>
      </c>
      <c r="H118" s="1" t="s">
        <v>4</v>
      </c>
      <c r="I118" s="1" t="b">
        <v>0</v>
      </c>
      <c r="J118" s="1" t="b">
        <v>0</v>
      </c>
      <c r="K118" s="10">
        <f>Table1[List Price]/Table1[SqFt]</f>
        <v>112.64086232239099</v>
      </c>
      <c r="L118" s="1"/>
    </row>
    <row r="119" spans="1:12" x14ac:dyDescent="0.25">
      <c r="A119" s="2" t="s">
        <v>23</v>
      </c>
      <c r="B119" s="12">
        <v>40014</v>
      </c>
      <c r="C119" s="6" t="s">
        <v>6</v>
      </c>
      <c r="D119" s="4">
        <v>229500</v>
      </c>
      <c r="E119" s="1">
        <v>6</v>
      </c>
      <c r="F119" s="1">
        <v>3</v>
      </c>
      <c r="G119" s="5">
        <v>2700</v>
      </c>
      <c r="H119" s="1" t="s">
        <v>0</v>
      </c>
      <c r="I119" s="1" t="b">
        <v>1</v>
      </c>
      <c r="J119" s="1" t="b">
        <v>0</v>
      </c>
      <c r="K119" s="10">
        <f>Table1[List Price]/Table1[SqFt]</f>
        <v>85</v>
      </c>
      <c r="L119" s="1"/>
    </row>
    <row r="120" spans="1:12" x14ac:dyDescent="0.25">
      <c r="A120" s="2" t="s">
        <v>17</v>
      </c>
      <c r="B120" s="12">
        <v>40042</v>
      </c>
      <c r="C120" s="3" t="s">
        <v>6</v>
      </c>
      <c r="D120" s="4">
        <v>215000</v>
      </c>
      <c r="E120" s="1">
        <v>4</v>
      </c>
      <c r="F120" s="1">
        <v>2.5</v>
      </c>
      <c r="G120" s="5">
        <v>1640</v>
      </c>
      <c r="H120" s="1" t="s">
        <v>4</v>
      </c>
      <c r="I120" s="1" t="b">
        <v>1</v>
      </c>
      <c r="J120" s="1" t="b">
        <v>0</v>
      </c>
      <c r="K120" s="10">
        <f>Table1[List Price]/Table1[SqFt]</f>
        <v>131.09756097560975</v>
      </c>
      <c r="L120" s="2"/>
    </row>
    <row r="121" spans="1:12" x14ac:dyDescent="0.25">
      <c r="A121" s="2" t="s">
        <v>20</v>
      </c>
      <c r="B121" s="12">
        <v>40091</v>
      </c>
      <c r="C121" s="6" t="s">
        <v>8</v>
      </c>
      <c r="D121" s="4">
        <v>205500</v>
      </c>
      <c r="E121" s="1">
        <v>4</v>
      </c>
      <c r="F121" s="1">
        <v>2.5</v>
      </c>
      <c r="G121" s="5">
        <v>2036</v>
      </c>
      <c r="H121" s="1" t="s">
        <v>4</v>
      </c>
      <c r="I121" s="1" t="b">
        <v>0</v>
      </c>
      <c r="J121" s="1" t="b">
        <v>1</v>
      </c>
      <c r="K121" s="10">
        <f>Table1[List Price]/Table1[SqFt]</f>
        <v>100.93320235756386</v>
      </c>
      <c r="L121" s="1"/>
    </row>
    <row r="122" spans="1:12" x14ac:dyDescent="0.25">
      <c r="A122" s="2" t="s">
        <v>20</v>
      </c>
      <c r="B122" s="12">
        <v>39947</v>
      </c>
      <c r="C122" s="3" t="s">
        <v>8</v>
      </c>
      <c r="D122" s="4">
        <v>236900</v>
      </c>
      <c r="E122" s="1">
        <v>1</v>
      </c>
      <c r="F122" s="1">
        <v>2</v>
      </c>
      <c r="G122" s="5">
        <v>1483</v>
      </c>
      <c r="H122" s="1" t="s">
        <v>4</v>
      </c>
      <c r="I122" s="1" t="b">
        <v>0</v>
      </c>
      <c r="J122" s="1" t="b">
        <v>0</v>
      </c>
      <c r="K122" s="10">
        <f>Table1[List Price]/Table1[SqFt]</f>
        <v>159.74376264329064</v>
      </c>
      <c r="L122" s="2"/>
    </row>
    <row r="123" spans="1:12" x14ac:dyDescent="0.25">
      <c r="A123" s="2" t="s">
        <v>20</v>
      </c>
      <c r="B123" s="12">
        <v>40035</v>
      </c>
      <c r="C123" s="6" t="s">
        <v>8</v>
      </c>
      <c r="D123" s="4">
        <v>238000</v>
      </c>
      <c r="E123" s="1">
        <v>3</v>
      </c>
      <c r="F123" s="1">
        <v>2.5</v>
      </c>
      <c r="G123" s="5">
        <v>2300</v>
      </c>
      <c r="H123" s="1" t="s">
        <v>0</v>
      </c>
      <c r="I123" s="1" t="b">
        <v>1</v>
      </c>
      <c r="J123" s="1" t="b">
        <v>0</v>
      </c>
      <c r="K123" s="10">
        <f>Table1[List Price]/Table1[SqFt]</f>
        <v>103.47826086956522</v>
      </c>
      <c r="L123" s="1"/>
    </row>
    <row r="124" spans="1:12" x14ac:dyDescent="0.25">
      <c r="A124" s="2" t="s">
        <v>20</v>
      </c>
      <c r="B124" s="12">
        <v>40103</v>
      </c>
      <c r="C124" s="3" t="s">
        <v>8</v>
      </c>
      <c r="D124" s="4">
        <v>249000</v>
      </c>
      <c r="E124" s="1">
        <v>4</v>
      </c>
      <c r="F124" s="1">
        <v>2.5</v>
      </c>
      <c r="G124" s="5">
        <v>1902</v>
      </c>
      <c r="H124" s="1" t="s">
        <v>0</v>
      </c>
      <c r="I124" s="1" t="b">
        <v>0</v>
      </c>
      <c r="J124" s="1" t="b">
        <v>0</v>
      </c>
      <c r="K124" s="10">
        <f>Table1[List Price]/Table1[SqFt]</f>
        <v>130.91482649842271</v>
      </c>
      <c r="L124" s="2"/>
    </row>
    <row r="125" spans="1:12" x14ac:dyDescent="0.25">
      <c r="A125" s="2" t="s">
        <v>20</v>
      </c>
      <c r="B125" s="12">
        <v>40052</v>
      </c>
      <c r="C125" s="3" t="s">
        <v>8</v>
      </c>
      <c r="D125" s="4">
        <v>249900</v>
      </c>
      <c r="E125" s="1">
        <v>3</v>
      </c>
      <c r="F125" s="1">
        <v>2</v>
      </c>
      <c r="G125" s="5">
        <v>2050</v>
      </c>
      <c r="H125" s="1" t="s">
        <v>0</v>
      </c>
      <c r="I125" s="1" t="b">
        <v>0</v>
      </c>
      <c r="J125" s="1" t="b">
        <v>1</v>
      </c>
      <c r="K125" s="10">
        <f>Table1[List Price]/Table1[SqFt]</f>
        <v>121.90243902439025</v>
      </c>
      <c r="L125" s="1"/>
    </row>
    <row r="126" spans="1:12" x14ac:dyDescent="0.25">
      <c r="A126" s="2" t="s">
        <v>20</v>
      </c>
      <c r="B126" s="12">
        <v>39987</v>
      </c>
      <c r="C126" s="3" t="s">
        <v>8</v>
      </c>
      <c r="D126" s="4">
        <v>574900</v>
      </c>
      <c r="E126" s="1">
        <v>5</v>
      </c>
      <c r="F126" s="1">
        <v>4</v>
      </c>
      <c r="G126" s="5">
        <v>4700</v>
      </c>
      <c r="H126" s="1" t="s">
        <v>0</v>
      </c>
      <c r="I126" s="1" t="b">
        <v>0</v>
      </c>
      <c r="J126" s="1" t="b">
        <v>0</v>
      </c>
      <c r="K126" s="10">
        <f>Table1[List Price]/Table1[SqFt]</f>
        <v>122.31914893617021</v>
      </c>
      <c r="L126" s="2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2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  <row r="321" spans="1:1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</row>
    <row r="322" spans="1:1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</row>
    <row r="323" spans="1:1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</row>
    <row r="324" spans="1:1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</row>
    <row r="325" spans="1:1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</row>
    <row r="326" spans="1:1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</row>
    <row r="327" spans="1:1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</row>
    <row r="328" spans="1:1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</row>
    <row r="329" spans="1:1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</row>
    <row r="330" spans="1:1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</row>
    <row r="331" spans="1:1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</row>
    <row r="332" spans="1:1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</row>
    <row r="333" spans="1:1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</row>
    <row r="334" spans="1:1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</row>
    <row r="335" spans="1:1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</row>
    <row r="336" spans="1:1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</row>
    <row r="337" spans="1:1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</row>
    <row r="338" spans="1:1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</row>
    <row r="339" spans="1:1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</row>
    <row r="340" spans="1:1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</row>
    <row r="341" spans="1:1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</row>
    <row r="342" spans="1:1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</row>
    <row r="343" spans="1:1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</row>
    <row r="344" spans="1:1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</row>
    <row r="345" spans="1:1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</row>
    <row r="346" spans="1:1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</row>
    <row r="347" spans="1:1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</row>
    <row r="348" spans="1:1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</row>
    <row r="349" spans="1:1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</row>
    <row r="350" spans="1:1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</row>
    <row r="351" spans="1:1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</row>
    <row r="352" spans="1:1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</row>
    <row r="353" spans="1:1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</row>
    <row r="354" spans="1:1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</row>
    <row r="355" spans="1:1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</row>
    <row r="356" spans="1:1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</row>
    <row r="357" spans="1:1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</row>
    <row r="358" spans="1:1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</row>
    <row r="359" spans="1:1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</row>
    <row r="360" spans="1:1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</row>
    <row r="361" spans="1:1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</row>
    <row r="362" spans="1:1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</row>
    <row r="363" spans="1:1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</row>
    <row r="364" spans="1:1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</row>
    <row r="365" spans="1:1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</row>
    <row r="366" spans="1:1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</row>
    <row r="367" spans="1:1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</row>
    <row r="368" spans="1:1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</row>
    <row r="369" spans="1:1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</row>
    <row r="370" spans="1:1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</row>
    <row r="371" spans="1:1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</row>
    <row r="372" spans="1:1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</row>
    <row r="373" spans="1:1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</row>
    <row r="374" spans="1:1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</row>
    <row r="375" spans="1:1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</row>
    <row r="376" spans="1:1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</row>
    <row r="377" spans="1:1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</row>
    <row r="378" spans="1:1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</row>
    <row r="379" spans="1:1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</row>
    <row r="380" spans="1:1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</row>
    <row r="381" spans="1:1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</row>
    <row r="382" spans="1:1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</row>
    <row r="383" spans="1:1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</row>
    <row r="384" spans="1:1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</row>
    <row r="385" spans="1:1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</row>
    <row r="386" spans="1:1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</row>
    <row r="387" spans="1:1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</row>
    <row r="388" spans="1:1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</row>
    <row r="389" spans="1:1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</row>
    <row r="390" spans="1:1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</row>
    <row r="391" spans="1:1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</row>
    <row r="392" spans="1:1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</row>
    <row r="393" spans="1:1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</row>
    <row r="394" spans="1:1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</row>
    <row r="395" spans="1:1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</row>
    <row r="396" spans="1:1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</row>
    <row r="397" spans="1:1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</row>
    <row r="398" spans="1:1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</row>
    <row r="399" spans="1:1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</row>
    <row r="400" spans="1:1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</row>
    <row r="401" spans="1:1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</row>
    <row r="402" spans="1:1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</row>
    <row r="403" spans="1:1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</row>
    <row r="404" spans="1:1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</row>
    <row r="405" spans="1:1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</row>
    <row r="406" spans="1:1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</row>
    <row r="407" spans="1:1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  <row r="411" spans="1:1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</row>
    <row r="412" spans="1:1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</row>
    <row r="413" spans="1:1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</row>
    <row r="414" spans="1:1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</row>
    <row r="415" spans="1:1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</row>
    <row r="416" spans="1:1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</row>
    <row r="417" spans="1:1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</row>
    <row r="418" spans="1:1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</row>
    <row r="419" spans="1:1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</row>
    <row r="420" spans="1:1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</row>
    <row r="421" spans="1:1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</row>
    <row r="422" spans="1:1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</row>
    <row r="423" spans="1:1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</row>
    <row r="424" spans="1:1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</row>
    <row r="425" spans="1:1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</row>
    <row r="426" spans="1:1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</row>
    <row r="427" spans="1:1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</row>
    <row r="428" spans="1:1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</row>
    <row r="429" spans="1:1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</row>
    <row r="430" spans="1:1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</row>
    <row r="431" spans="1:1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</row>
    <row r="432" spans="1:1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</row>
    <row r="433" spans="1:1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</row>
    <row r="434" spans="1:1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</row>
    <row r="435" spans="1:1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</row>
    <row r="436" spans="1:1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</row>
    <row r="437" spans="1:1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</row>
    <row r="438" spans="1:1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</row>
    <row r="439" spans="1:1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</row>
    <row r="440" spans="1:1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</row>
    <row r="441" spans="1:1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</row>
    <row r="442" spans="1:1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</row>
    <row r="443" spans="1:1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</row>
    <row r="444" spans="1:1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</row>
    <row r="445" spans="1:1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</row>
    <row r="446" spans="1:1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</row>
    <row r="447" spans="1:1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</row>
    <row r="448" spans="1:1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</row>
    <row r="449" spans="1:1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</row>
    <row r="450" spans="1:1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</row>
    <row r="451" spans="1:1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</row>
    <row r="452" spans="1:1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</row>
    <row r="453" spans="1:1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</row>
    <row r="454" spans="1:1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</row>
    <row r="455" spans="1:1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</row>
    <row r="456" spans="1:1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</row>
    <row r="457" spans="1:1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</row>
    <row r="458" spans="1:1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</row>
    <row r="459" spans="1:1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</row>
    <row r="460" spans="1:1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</row>
    <row r="461" spans="1:1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</row>
    <row r="462" spans="1:1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</row>
    <row r="463" spans="1:1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</row>
    <row r="464" spans="1:1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</row>
    <row r="465" spans="1:1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</row>
    <row r="466" spans="1:1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</row>
    <row r="467" spans="1:1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</row>
    <row r="468" spans="1:1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</row>
    <row r="469" spans="1:1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</row>
    <row r="470" spans="1:1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</row>
    <row r="471" spans="1:1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</row>
    <row r="472" spans="1:1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</row>
    <row r="473" spans="1:1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</row>
    <row r="474" spans="1:1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</row>
    <row r="475" spans="1:1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</row>
    <row r="476" spans="1:1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</row>
    <row r="477" spans="1:1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</row>
    <row r="478" spans="1:1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</row>
    <row r="479" spans="1:1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</row>
    <row r="480" spans="1:1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</row>
    <row r="481" spans="1:1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</row>
    <row r="482" spans="1:1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</row>
    <row r="483" spans="1:1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</row>
    <row r="484" spans="1:1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</row>
    <row r="485" spans="1:1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</row>
    <row r="486" spans="1:1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</row>
    <row r="487" spans="1:1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</row>
    <row r="488" spans="1:1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</row>
    <row r="489" spans="1:1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</row>
    <row r="490" spans="1:1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</row>
    <row r="491" spans="1:1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</row>
    <row r="492" spans="1:1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</row>
    <row r="493" spans="1:1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</row>
    <row r="494" spans="1:1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</row>
    <row r="495" spans="1:1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</row>
    <row r="496" spans="1:1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</row>
    <row r="497" spans="1:1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</row>
    <row r="498" spans="1:1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</row>
    <row r="499" spans="1:1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</row>
    <row r="500" spans="1:1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</row>
    <row r="501" spans="1:12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</row>
    <row r="502" spans="1:12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</row>
    <row r="503" spans="1:12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</row>
    <row r="504" spans="1:12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</row>
    <row r="505" spans="1:12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</row>
    <row r="506" spans="1:12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</row>
    <row r="507" spans="1:12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</row>
    <row r="508" spans="1:12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</row>
    <row r="509" spans="1:12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</row>
    <row r="510" spans="1:12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</row>
    <row r="511" spans="1:12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</row>
    <row r="512" spans="1:12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</row>
    <row r="513" spans="1:12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</row>
    <row r="514" spans="1:12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</row>
    <row r="515" spans="1:12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</row>
    <row r="516" spans="1:12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</row>
    <row r="517" spans="1:12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</row>
    <row r="518" spans="1:12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</row>
    <row r="519" spans="1:12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</row>
    <row r="520" spans="1:12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</row>
    <row r="521" spans="1:12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</row>
    <row r="522" spans="1:12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</row>
    <row r="523" spans="1:12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</row>
    <row r="524" spans="1:12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</row>
    <row r="525" spans="1:12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</row>
    <row r="526" spans="1:12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</row>
    <row r="527" spans="1:12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</row>
    <row r="528" spans="1:12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</row>
    <row r="529" spans="1:12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</row>
    <row r="530" spans="1:12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</row>
    <row r="531" spans="1:12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</row>
    <row r="532" spans="1:12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</row>
    <row r="533" spans="1:12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</row>
    <row r="534" spans="1:12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</row>
    <row r="535" spans="1:12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</row>
    <row r="536" spans="1:12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</row>
    <row r="537" spans="1:12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</row>
    <row r="538" spans="1:12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</row>
    <row r="539" spans="1:12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</row>
    <row r="540" spans="1:12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</row>
    <row r="541" spans="1:12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</row>
    <row r="542" spans="1:12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</row>
    <row r="543" spans="1:12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</row>
    <row r="544" spans="1:12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</row>
    <row r="545" spans="1:12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</row>
    <row r="546" spans="1:12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</row>
    <row r="547" spans="1:12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</row>
    <row r="548" spans="1:12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</row>
    <row r="549" spans="1:12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</row>
    <row r="550" spans="1:12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</row>
    <row r="551" spans="1:12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</row>
    <row r="552" spans="1:12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</row>
    <row r="553" spans="1:12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</row>
    <row r="554" spans="1:12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</row>
    <row r="555" spans="1:12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</row>
    <row r="556" spans="1:12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</row>
    <row r="557" spans="1:12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</row>
    <row r="558" spans="1:12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</row>
    <row r="559" spans="1:12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</row>
    <row r="560" spans="1:12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</row>
    <row r="561" spans="1:12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</row>
    <row r="562" spans="1:12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</row>
    <row r="563" spans="1:12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</row>
    <row r="564" spans="1:12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</row>
    <row r="565" spans="1:12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</row>
    <row r="566" spans="1:12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</row>
    <row r="567" spans="1:12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</row>
    <row r="568" spans="1:12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</row>
    <row r="569" spans="1:12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</row>
    <row r="570" spans="1:12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</row>
    <row r="571" spans="1:12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</row>
    <row r="572" spans="1:12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</row>
    <row r="573" spans="1:12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</row>
    <row r="574" spans="1:12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</row>
    <row r="575" spans="1:12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</row>
    <row r="576" spans="1:12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</row>
    <row r="577" spans="1:12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</row>
    <row r="578" spans="1:12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</row>
    <row r="579" spans="1:12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</row>
    <row r="580" spans="1:12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</row>
    <row r="581" spans="1:12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</row>
    <row r="582" spans="1:12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</row>
    <row r="583" spans="1:12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</row>
    <row r="584" spans="1:12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</row>
    <row r="585" spans="1:12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</row>
    <row r="586" spans="1:12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</row>
    <row r="587" spans="1:12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</row>
    <row r="588" spans="1:12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</row>
    <row r="589" spans="1:12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</row>
    <row r="590" spans="1:12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</row>
    <row r="591" spans="1:12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</row>
    <row r="592" spans="1:12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</row>
    <row r="593" spans="1:12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</row>
    <row r="594" spans="1:12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</row>
    <row r="595" spans="1:12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</row>
    <row r="596" spans="1:12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</row>
    <row r="597" spans="1:12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</row>
    <row r="598" spans="1:12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</row>
    <row r="599" spans="1:12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</row>
    <row r="600" spans="1:12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</row>
    <row r="601" spans="1:12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</row>
    <row r="602" spans="1:12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</row>
    <row r="603" spans="1:12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</row>
    <row r="604" spans="1:12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</row>
    <row r="605" spans="1:12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</row>
    <row r="606" spans="1:12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</row>
    <row r="607" spans="1:12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</row>
    <row r="608" spans="1:12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</row>
    <row r="609" spans="1:12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</row>
    <row r="610" spans="1:12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</row>
    <row r="611" spans="1:12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</row>
    <row r="612" spans="1:12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</row>
    <row r="613" spans="1:12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</row>
    <row r="614" spans="1:12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</row>
    <row r="615" spans="1:12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</row>
    <row r="616" spans="1:12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</row>
    <row r="617" spans="1:12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</row>
    <row r="618" spans="1:12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</row>
    <row r="619" spans="1:12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</row>
    <row r="620" spans="1:12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</row>
    <row r="621" spans="1:12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</row>
    <row r="622" spans="1:12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</row>
    <row r="623" spans="1:12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</row>
    <row r="624" spans="1:12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</row>
    <row r="625" spans="1:12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</row>
    <row r="626" spans="1:12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</row>
    <row r="627" spans="1:12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</row>
    <row r="628" spans="1:12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</row>
    <row r="629" spans="1:12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</row>
    <row r="630" spans="1:12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</row>
    <row r="631" spans="1:12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</row>
    <row r="632" spans="1:12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</row>
    <row r="633" spans="1:12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</row>
    <row r="634" spans="1:12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</row>
    <row r="635" spans="1:12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</row>
    <row r="636" spans="1:12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</row>
    <row r="637" spans="1:12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</row>
    <row r="638" spans="1:12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</row>
    <row r="639" spans="1:12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</row>
    <row r="640" spans="1:12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</row>
    <row r="641" spans="1:12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</row>
    <row r="642" spans="1:12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</row>
    <row r="643" spans="1:12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</row>
    <row r="644" spans="1:12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</row>
    <row r="645" spans="1:12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</row>
    <row r="646" spans="1:12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</row>
    <row r="647" spans="1:12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</row>
    <row r="648" spans="1:12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</row>
    <row r="649" spans="1:12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</row>
    <row r="650" spans="1:12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</row>
    <row r="651" spans="1:12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</row>
    <row r="652" spans="1:12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</row>
    <row r="653" spans="1:12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</row>
    <row r="654" spans="1:12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</row>
    <row r="655" spans="1:12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</row>
    <row r="656" spans="1:12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</row>
    <row r="657" spans="1:12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</row>
    <row r="658" spans="1:12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</row>
    <row r="659" spans="1:12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</row>
    <row r="660" spans="1:12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</row>
    <row r="661" spans="1:12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</row>
    <row r="662" spans="1:12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</row>
    <row r="663" spans="1:12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</row>
    <row r="664" spans="1:12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</row>
    <row r="665" spans="1:12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</row>
    <row r="666" spans="1:12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</row>
    <row r="667" spans="1:12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</row>
    <row r="668" spans="1:12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</row>
    <row r="669" spans="1:12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</row>
    <row r="670" spans="1:12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</row>
    <row r="671" spans="1:12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</row>
    <row r="672" spans="1:12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</row>
    <row r="673" spans="1:12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</row>
    <row r="674" spans="1:12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</row>
    <row r="675" spans="1:12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</row>
    <row r="676" spans="1:12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</row>
    <row r="677" spans="1:12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</row>
    <row r="678" spans="1:12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</row>
    <row r="679" spans="1:12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</row>
    <row r="680" spans="1:12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</row>
    <row r="681" spans="1:12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</row>
    <row r="682" spans="1:12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</row>
    <row r="683" spans="1:12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</row>
    <row r="684" spans="1:12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</row>
    <row r="685" spans="1:12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</row>
    <row r="686" spans="1:12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</row>
    <row r="687" spans="1:12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</row>
    <row r="688" spans="1:12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</row>
    <row r="689" spans="1:12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</row>
    <row r="690" spans="1:12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</row>
    <row r="691" spans="1:12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</row>
    <row r="692" spans="1:12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</row>
    <row r="693" spans="1:12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</row>
    <row r="694" spans="1:12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</row>
    <row r="695" spans="1:12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</row>
    <row r="696" spans="1:12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</row>
    <row r="697" spans="1:12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</row>
    <row r="698" spans="1:12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</row>
    <row r="699" spans="1:12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</row>
    <row r="700" spans="1:12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</row>
    <row r="701" spans="1:12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</row>
    <row r="702" spans="1:12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</row>
    <row r="703" spans="1:12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</row>
    <row r="704" spans="1:12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</row>
    <row r="705" spans="1:12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</row>
    <row r="706" spans="1:12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</row>
    <row r="707" spans="1:12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</row>
    <row r="708" spans="1:12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</row>
    <row r="709" spans="1:12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</row>
    <row r="710" spans="1:12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</row>
    <row r="711" spans="1:12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</row>
    <row r="712" spans="1:12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</row>
    <row r="713" spans="1:12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</row>
    <row r="714" spans="1:12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</row>
    <row r="715" spans="1:12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</row>
    <row r="716" spans="1:12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</row>
    <row r="717" spans="1:12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</row>
    <row r="718" spans="1:12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</row>
    <row r="719" spans="1:12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</row>
    <row r="720" spans="1:12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</row>
    <row r="721" spans="1:12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</row>
    <row r="722" spans="1:12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</row>
    <row r="723" spans="1:12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</row>
    <row r="724" spans="1:12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</row>
    <row r="725" spans="1:12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</row>
    <row r="726" spans="1:12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</row>
    <row r="727" spans="1:12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</row>
    <row r="728" spans="1:12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</row>
    <row r="729" spans="1:12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</row>
    <row r="730" spans="1:12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</row>
    <row r="731" spans="1:12" x14ac:dyDescent="0.25">
      <c r="A731" s="1"/>
      <c r="B731" s="8"/>
      <c r="C731" s="1"/>
      <c r="D731" s="1"/>
      <c r="E731" s="1"/>
      <c r="F731" s="1"/>
      <c r="G731" s="1"/>
      <c r="H731" s="1"/>
      <c r="I731" s="1"/>
      <c r="J731" s="1"/>
      <c r="K731" s="1"/>
      <c r="L731" s="1"/>
    </row>
    <row r="732" spans="1:12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</row>
    <row r="733" spans="1:12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</row>
    <row r="734" spans="1:12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</row>
    <row r="735" spans="1:12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</row>
    <row r="736" spans="1:12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</row>
    <row r="737" spans="1:12" x14ac:dyDescent="0.25">
      <c r="A737" s="1"/>
      <c r="B737" s="8"/>
      <c r="C737" s="1"/>
      <c r="D737" s="1"/>
      <c r="E737" s="1"/>
      <c r="F737" s="1"/>
      <c r="G737" s="1"/>
      <c r="H737" s="1"/>
      <c r="I737" s="1"/>
      <c r="J737" s="1"/>
      <c r="K737" s="1"/>
      <c r="L737" s="1"/>
    </row>
    <row r="738" spans="1:12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</row>
    <row r="739" spans="1:12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</row>
    <row r="740" spans="1:12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</row>
    <row r="741" spans="1:12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</row>
    <row r="742" spans="1:12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</row>
    <row r="743" spans="1:12" x14ac:dyDescent="0.25">
      <c r="A743" s="1"/>
      <c r="B743" s="8"/>
      <c r="C743" s="1"/>
      <c r="D743" s="1"/>
      <c r="E743" s="1"/>
      <c r="F743" s="1"/>
      <c r="G743" s="1"/>
      <c r="H743" s="1"/>
      <c r="I743" s="1"/>
      <c r="J743" s="1"/>
      <c r="K743" s="1"/>
      <c r="L743" s="1"/>
    </row>
    <row r="744" spans="1:12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</row>
    <row r="745" spans="1:12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</row>
    <row r="746" spans="1:12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</row>
    <row r="747" spans="1:12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</row>
    <row r="748" spans="1:12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</row>
    <row r="749" spans="1:12" x14ac:dyDescent="0.25">
      <c r="A749" s="1"/>
      <c r="B749" s="8"/>
      <c r="C749" s="1"/>
      <c r="D749" s="1"/>
      <c r="E749" s="1"/>
      <c r="F749" s="1"/>
      <c r="G749" s="1"/>
      <c r="H749" s="1"/>
      <c r="I749" s="1"/>
      <c r="J749" s="1"/>
      <c r="K749" s="1"/>
      <c r="L749" s="1"/>
    </row>
    <row r="750" spans="1:12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</row>
    <row r="751" spans="1:12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</row>
    <row r="752" spans="1:12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</row>
    <row r="753" spans="1:12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</row>
    <row r="754" spans="1:12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</row>
    <row r="755" spans="1:12" x14ac:dyDescent="0.25">
      <c r="A755" s="1"/>
      <c r="B755" s="8"/>
      <c r="C755" s="1"/>
      <c r="D755" s="1"/>
      <c r="E755" s="1"/>
      <c r="F755" s="1"/>
      <c r="G755" s="1"/>
      <c r="H755" s="1"/>
      <c r="I755" s="1"/>
      <c r="J755" s="1"/>
      <c r="K755" s="1"/>
      <c r="L755" s="1"/>
    </row>
    <row r="756" spans="1:12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</row>
    <row r="757" spans="1:12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</row>
    <row r="758" spans="1:12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</row>
    <row r="759" spans="1:12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</row>
    <row r="760" spans="1:12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</row>
    <row r="761" spans="1:12" x14ac:dyDescent="0.25">
      <c r="A761" s="1"/>
      <c r="B761" s="8"/>
      <c r="C761" s="1"/>
      <c r="D761" s="1"/>
      <c r="E761" s="1"/>
      <c r="F761" s="1"/>
      <c r="G761" s="1"/>
      <c r="H761" s="1"/>
      <c r="I761" s="1"/>
      <c r="J761" s="1"/>
      <c r="K761" s="1"/>
      <c r="L761" s="1"/>
    </row>
    <row r="762" spans="1:12" x14ac:dyDescent="0.25">
      <c r="L762" s="1"/>
    </row>
  </sheetData>
  <sortState ref="A2:L127">
    <sortCondition ref="L2"/>
  </sortState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taForm">
                <anchor moveWithCells="1" sizeWithCells="1">
                  <from>
                    <xdr:col>11</xdr:col>
                    <xdr:colOff>266700</xdr:colOff>
                    <xdr:row>0</xdr:row>
                    <xdr:rowOff>114300</xdr:rowOff>
                  </from>
                  <to>
                    <xdr:col>12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2007-01-08T22:31:42Z</outs:dateTime>
      <outs:isPinned>true</outs:isPinned>
    </outs:relatedDate>
    <outs:relatedDate>
      <outs:type>2</outs:type>
      <outs:displayName>Created</outs:displayName>
      <outs:dateTime>1999-05-13T23:59:55Z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91856B6-04E5-436C-B2A5-55C96C4194A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form example.xlsm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1999-05-13T23:59:55Z</dcterms:created>
  <dcterms:modified xsi:type="dcterms:W3CDTF">2018-07-07T21:43:21Z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b20e2612-af6f-4f24-9f34-24b6a1ccbeb2</vt:lpwstr>
  </property>
</Properties>
</file>