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ANIMATED CHARTS\"/>
    </mc:Choice>
  </mc:AlternateContent>
  <bookViews>
    <workbookView xWindow="-15" yWindow="-15" windowWidth="16020" windowHeight="12030" xr2:uid="{00000000-000D-0000-FFFF-FFFF00000000}"/>
  </bookViews>
  <sheets>
    <sheet name="Simple" sheetId="6" r:id="rId1"/>
    <sheet name="Example-1" sheetId="1" r:id="rId2"/>
    <sheet name="Example-2" sheetId="2" r:id="rId3"/>
    <sheet name="Example-3" sheetId="4" r:id="rId4"/>
    <sheet name="Example-4" sheetId="5" r:id="rId5"/>
    <sheet name="Module1" sheetId="3" state="veryHidden" r:id=""/>
  </sheets>
  <definedNames>
    <definedName name="Base">'Example-1'!$I$1</definedName>
    <definedName name="Inc">'Example-3'!$P$1</definedName>
    <definedName name="Multiplier">'Example-2'!$K$1</definedName>
  </definedNames>
  <calcPr calcId="171027" calcMode="manual"/>
</workbook>
</file>

<file path=xl/calcChain.xml><?xml version="1.0" encoding="utf-8"?>
<calcChain xmlns="http://schemas.openxmlformats.org/spreadsheetml/2006/main">
  <c r="B4" i="6" l="1"/>
  <c r="A5" i="6"/>
  <c r="B5" i="6" s="1"/>
  <c r="B35" i="5"/>
  <c r="C35" i="5" s="1"/>
  <c r="A36" i="5"/>
  <c r="B36" i="5"/>
  <c r="A37" i="5"/>
  <c r="B37" i="5" s="1"/>
  <c r="A38" i="5"/>
  <c r="B38" i="5" s="1"/>
  <c r="I3" i="1"/>
  <c r="I4" i="1" s="1"/>
  <c r="J4" i="1" s="1"/>
  <c r="K39" i="1" s="1"/>
  <c r="Q4" i="4"/>
  <c r="P5" i="4"/>
  <c r="Q5" i="4" s="1"/>
  <c r="K4" i="2"/>
  <c r="K5" i="2" s="1"/>
  <c r="M3" i="2"/>
  <c r="L3" i="2"/>
  <c r="A39" i="5" l="1"/>
  <c r="J3" i="1"/>
  <c r="K40" i="1" s="1"/>
  <c r="A6" i="6"/>
  <c r="K6" i="2"/>
  <c r="L5" i="2"/>
  <c r="M5" i="2"/>
  <c r="D35" i="5"/>
  <c r="C36" i="5"/>
  <c r="C37" i="5"/>
  <c r="C38" i="5"/>
  <c r="C39" i="5"/>
  <c r="P6" i="4"/>
  <c r="L4" i="2"/>
  <c r="M4" i="2"/>
  <c r="I5" i="1"/>
  <c r="B39" i="5" l="1"/>
  <c r="A40" i="5"/>
  <c r="B6" i="6"/>
  <c r="A7" i="6"/>
  <c r="Q6" i="4"/>
  <c r="P7" i="4"/>
  <c r="J5" i="1"/>
  <c r="K38" i="1" s="1"/>
  <c r="I6" i="1"/>
  <c r="K7" i="2"/>
  <c r="M6" i="2"/>
  <c r="L6" i="2"/>
  <c r="D36" i="5"/>
  <c r="D37" i="5"/>
  <c r="D38" i="5"/>
  <c r="D39" i="5"/>
  <c r="D40" i="5"/>
  <c r="E35" i="5"/>
  <c r="B40" i="5" l="1"/>
  <c r="A41" i="5"/>
  <c r="C40" i="5"/>
  <c r="B7" i="6"/>
  <c r="A8" i="6"/>
  <c r="K8" i="2"/>
  <c r="M7" i="2"/>
  <c r="L7" i="2"/>
  <c r="F35" i="5"/>
  <c r="E36" i="5"/>
  <c r="E37" i="5"/>
  <c r="E38" i="5"/>
  <c r="E39" i="5"/>
  <c r="E40" i="5"/>
  <c r="E41" i="5"/>
  <c r="J6" i="1"/>
  <c r="K37" i="1" s="1"/>
  <c r="I7" i="1"/>
  <c r="Q7" i="4"/>
  <c r="P8" i="4"/>
  <c r="A42" i="5" l="1"/>
  <c r="B41" i="5"/>
  <c r="C41" i="5"/>
  <c r="D41" i="5"/>
  <c r="B8" i="6"/>
  <c r="A9" i="6"/>
  <c r="P9" i="4"/>
  <c r="Q8" i="4"/>
  <c r="J7" i="1"/>
  <c r="K36" i="1" s="1"/>
  <c r="I8" i="1"/>
  <c r="K9" i="2"/>
  <c r="M8" i="2"/>
  <c r="L8" i="2"/>
  <c r="F36" i="5"/>
  <c r="F37" i="5"/>
  <c r="F38" i="5"/>
  <c r="F39" i="5"/>
  <c r="F40" i="5"/>
  <c r="F41" i="5"/>
  <c r="F42" i="5"/>
  <c r="G35" i="5"/>
  <c r="B42" i="5" l="1"/>
  <c r="A43" i="5"/>
  <c r="C42" i="5"/>
  <c r="D42" i="5"/>
  <c r="E42" i="5"/>
  <c r="B9" i="6"/>
  <c r="A10" i="6"/>
  <c r="H35" i="5"/>
  <c r="G36" i="5"/>
  <c r="G37" i="5"/>
  <c r="G38" i="5"/>
  <c r="G39" i="5"/>
  <c r="G40" i="5"/>
  <c r="G41" i="5"/>
  <c r="G42" i="5"/>
  <c r="G43" i="5"/>
  <c r="L9" i="2"/>
  <c r="K10" i="2"/>
  <c r="M9" i="2"/>
  <c r="Q9" i="4"/>
  <c r="P10" i="4"/>
  <c r="J8" i="1"/>
  <c r="K35" i="1" s="1"/>
  <c r="I9" i="1"/>
  <c r="B43" i="5" l="1"/>
  <c r="A44" i="5"/>
  <c r="C43" i="5"/>
  <c r="D43" i="5"/>
  <c r="E43" i="5"/>
  <c r="F43" i="5"/>
  <c r="B10" i="6"/>
  <c r="A11" i="6"/>
  <c r="J9" i="1"/>
  <c r="K34" i="1" s="1"/>
  <c r="I10" i="1"/>
  <c r="P11" i="4"/>
  <c r="Q10" i="4"/>
  <c r="H36" i="5"/>
  <c r="H37" i="5"/>
  <c r="H38" i="5"/>
  <c r="H39" i="5"/>
  <c r="H40" i="5"/>
  <c r="H41" i="5"/>
  <c r="H42" i="5"/>
  <c r="H43" i="5"/>
  <c r="H44" i="5"/>
  <c r="I35" i="5"/>
  <c r="K11" i="2"/>
  <c r="M10" i="2"/>
  <c r="L10" i="2"/>
  <c r="B44" i="5" l="1"/>
  <c r="A45" i="5"/>
  <c r="C44" i="5"/>
  <c r="D44" i="5"/>
  <c r="E44" i="5"/>
  <c r="F44" i="5"/>
  <c r="G44" i="5"/>
  <c r="B11" i="6"/>
  <c r="A12" i="6"/>
  <c r="K12" i="2"/>
  <c r="M11" i="2"/>
  <c r="L11" i="2"/>
  <c r="Q11" i="4"/>
  <c r="P12" i="4"/>
  <c r="J35" i="5"/>
  <c r="I36" i="5"/>
  <c r="I37" i="5"/>
  <c r="I38" i="5"/>
  <c r="I39" i="5"/>
  <c r="I40" i="5"/>
  <c r="I41" i="5"/>
  <c r="I42" i="5"/>
  <c r="I43" i="5"/>
  <c r="I44" i="5"/>
  <c r="I45" i="5"/>
  <c r="J10" i="1"/>
  <c r="K33" i="1" s="1"/>
  <c r="I11" i="1"/>
  <c r="A46" i="5" l="1"/>
  <c r="B45" i="5"/>
  <c r="C45" i="5"/>
  <c r="D45" i="5"/>
  <c r="E45" i="5"/>
  <c r="F45" i="5"/>
  <c r="G45" i="5"/>
  <c r="H45" i="5"/>
  <c r="B12" i="6"/>
  <c r="A13" i="6"/>
  <c r="J11" i="1"/>
  <c r="K32" i="1" s="1"/>
  <c r="I12" i="1"/>
  <c r="P13" i="4"/>
  <c r="Q12" i="4"/>
  <c r="M12" i="2"/>
  <c r="L12" i="2"/>
  <c r="J36" i="5"/>
  <c r="J37" i="5"/>
  <c r="J38" i="5"/>
  <c r="J39" i="5"/>
  <c r="J40" i="5"/>
  <c r="J41" i="5"/>
  <c r="J42" i="5"/>
  <c r="J43" i="5"/>
  <c r="J44" i="5"/>
  <c r="J45" i="5"/>
  <c r="J46" i="5"/>
  <c r="K35" i="5"/>
  <c r="B46" i="5" l="1"/>
  <c r="A47" i="5"/>
  <c r="C46" i="5"/>
  <c r="D46" i="5"/>
  <c r="E46" i="5"/>
  <c r="F46" i="5"/>
  <c r="G46" i="5"/>
  <c r="H46" i="5"/>
  <c r="I46" i="5"/>
  <c r="B13" i="6"/>
  <c r="A14" i="6"/>
  <c r="Q13" i="4"/>
  <c r="P14" i="4"/>
  <c r="L35" i="5"/>
  <c r="K36" i="5"/>
  <c r="K37" i="5"/>
  <c r="K38" i="5"/>
  <c r="K39" i="5"/>
  <c r="K40" i="5"/>
  <c r="K41" i="5"/>
  <c r="K42" i="5"/>
  <c r="K43" i="5"/>
  <c r="K44" i="5"/>
  <c r="K45" i="5"/>
  <c r="K46" i="5"/>
  <c r="K47" i="5"/>
  <c r="J12" i="1"/>
  <c r="K31" i="1" s="1"/>
  <c r="I13" i="1"/>
  <c r="B47" i="5" l="1"/>
  <c r="A48" i="5"/>
  <c r="C47" i="5"/>
  <c r="D47" i="5"/>
  <c r="E47" i="5"/>
  <c r="F47" i="5"/>
  <c r="G47" i="5"/>
  <c r="H47" i="5"/>
  <c r="I47" i="5"/>
  <c r="J47" i="5"/>
  <c r="B14" i="6"/>
  <c r="A15" i="6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J13" i="1"/>
  <c r="K30" i="1" s="1"/>
  <c r="I14" i="1"/>
  <c r="P15" i="4"/>
  <c r="Q14" i="4"/>
  <c r="B48" i="5" l="1"/>
  <c r="A49" i="5"/>
  <c r="C48" i="5"/>
  <c r="D48" i="5"/>
  <c r="E48" i="5"/>
  <c r="F48" i="5"/>
  <c r="G48" i="5"/>
  <c r="H48" i="5"/>
  <c r="I48" i="5"/>
  <c r="J48" i="5"/>
  <c r="K48" i="5"/>
  <c r="B15" i="6"/>
  <c r="A16" i="6"/>
  <c r="J14" i="1"/>
  <c r="K29" i="1" s="1"/>
  <c r="I15" i="1"/>
  <c r="Q15" i="4"/>
  <c r="P16" i="4"/>
  <c r="A50" i="5" l="1"/>
  <c r="B49" i="5"/>
  <c r="C49" i="5"/>
  <c r="D49" i="5"/>
  <c r="E49" i="5"/>
  <c r="F49" i="5"/>
  <c r="G49" i="5"/>
  <c r="H49" i="5"/>
  <c r="I49" i="5"/>
  <c r="J49" i="5"/>
  <c r="K49" i="5"/>
  <c r="L49" i="5"/>
  <c r="B16" i="6"/>
  <c r="A17" i="6"/>
  <c r="P17" i="4"/>
  <c r="Q16" i="4"/>
  <c r="J15" i="1"/>
  <c r="K28" i="1" s="1"/>
  <c r="I16" i="1"/>
  <c r="B50" i="5" l="1"/>
  <c r="C50" i="5"/>
  <c r="D50" i="5"/>
  <c r="E50" i="5"/>
  <c r="F50" i="5"/>
  <c r="G50" i="5"/>
  <c r="H50" i="5"/>
  <c r="I50" i="5"/>
  <c r="J50" i="5"/>
  <c r="K50" i="5"/>
  <c r="L50" i="5"/>
  <c r="B17" i="6"/>
  <c r="A18" i="6"/>
  <c r="Q17" i="4"/>
  <c r="P18" i="4"/>
  <c r="J16" i="1"/>
  <c r="K27" i="1" s="1"/>
  <c r="I17" i="1"/>
  <c r="B18" i="6" l="1"/>
  <c r="A19" i="6"/>
  <c r="J17" i="1"/>
  <c r="K26" i="1" s="1"/>
  <c r="I18" i="1"/>
  <c r="P19" i="4"/>
  <c r="Q18" i="4"/>
  <c r="B19" i="6" l="1"/>
  <c r="A20" i="6"/>
  <c r="Q19" i="4"/>
  <c r="P20" i="4"/>
  <c r="J18" i="1"/>
  <c r="K25" i="1" s="1"/>
  <c r="I19" i="1"/>
  <c r="B20" i="6" l="1"/>
  <c r="A21" i="6"/>
  <c r="B21" i="6" s="1"/>
  <c r="J19" i="1"/>
  <c r="K24" i="1" s="1"/>
  <c r="I20" i="1"/>
  <c r="P21" i="4"/>
  <c r="Q21" i="4" s="1"/>
  <c r="Q20" i="4"/>
  <c r="J20" i="1" l="1"/>
  <c r="K23" i="1" s="1"/>
  <c r="I21" i="1"/>
  <c r="J21" i="1" l="1"/>
  <c r="K22" i="1" s="1"/>
  <c r="I22" i="1"/>
  <c r="J22" i="1" l="1"/>
  <c r="K21" i="1" s="1"/>
  <c r="I23" i="1"/>
  <c r="J23" i="1" l="1"/>
  <c r="K20" i="1" s="1"/>
  <c r="I24" i="1"/>
  <c r="J24" i="1" l="1"/>
  <c r="K19" i="1" s="1"/>
  <c r="I25" i="1"/>
  <c r="J25" i="1" l="1"/>
  <c r="K18" i="1" s="1"/>
  <c r="I26" i="1"/>
  <c r="J26" i="1" l="1"/>
  <c r="K17" i="1" s="1"/>
  <c r="I27" i="1"/>
  <c r="J27" i="1" l="1"/>
  <c r="K16" i="1" s="1"/>
  <c r="I28" i="1"/>
  <c r="J28" i="1" l="1"/>
  <c r="K15" i="1" s="1"/>
  <c r="I29" i="1"/>
  <c r="J29" i="1" l="1"/>
  <c r="K14" i="1" s="1"/>
  <c r="I30" i="1"/>
  <c r="J30" i="1" l="1"/>
  <c r="K13" i="1" s="1"/>
  <c r="I31" i="1"/>
  <c r="J31" i="1" l="1"/>
  <c r="K12" i="1" s="1"/>
  <c r="I32" i="1"/>
  <c r="J32" i="1" l="1"/>
  <c r="K11" i="1" s="1"/>
  <c r="I33" i="1"/>
  <c r="J33" i="1" l="1"/>
  <c r="K10" i="1" s="1"/>
  <c r="I34" i="1"/>
  <c r="J34" i="1" l="1"/>
  <c r="K9" i="1" s="1"/>
  <c r="I35" i="1"/>
  <c r="J35" i="1" l="1"/>
  <c r="K8" i="1" s="1"/>
  <c r="I36" i="1"/>
  <c r="J36" i="1" l="1"/>
  <c r="K7" i="1" s="1"/>
  <c r="I37" i="1"/>
  <c r="J37" i="1" l="1"/>
  <c r="K6" i="1" s="1"/>
  <c r="I38" i="1"/>
  <c r="J38" i="1" l="1"/>
  <c r="K5" i="1" s="1"/>
  <c r="I39" i="1"/>
  <c r="I40" i="1" l="1"/>
  <c r="J40" i="1" s="1"/>
  <c r="K3" i="1" s="1"/>
  <c r="J39" i="1"/>
  <c r="K4" i="1" s="1"/>
</calcChain>
</file>

<file path=xl/sharedStrings.xml><?xml version="1.0" encoding="utf-8"?>
<sst xmlns="http://schemas.openxmlformats.org/spreadsheetml/2006/main" count="4" uniqueCount="2">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</sst>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i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0" xfId="0" applyFont="1" applyFill="1"/>
    <xf numFmtId="0" fontId="0" fillId="0" borderId="0" xfId="0" applyFont="1"/>
    <xf numFmtId="4" fontId="0" fillId="0" borderId="2" xfId="0" applyNumberFormat="1" applyFont="1" applyBorder="1"/>
    <xf numFmtId="4" fontId="3" fillId="0" borderId="2" xfId="0" applyNumberFormat="1" applyFont="1" applyBorder="1"/>
    <xf numFmtId="2" fontId="0" fillId="0" borderId="2" xfId="0" applyNumberFormat="1" applyBorder="1"/>
    <xf numFmtId="2" fontId="1" fillId="0" borderId="2" xfId="1" applyNumberFormat="1" applyBorder="1"/>
    <xf numFmtId="164" fontId="0" fillId="0" borderId="2" xfId="0" applyNumberFormat="1" applyBorder="1"/>
    <xf numFmtId="164" fontId="4" fillId="2" borderId="2" xfId="0" applyNumberFormat="1" applyFont="1" applyFill="1" applyBorder="1"/>
    <xf numFmtId="0" fontId="5" fillId="2" borderId="2" xfId="0" applyFont="1" applyFill="1" applyBorder="1" applyAlignment="1">
      <alignment horizontal="right"/>
    </xf>
    <xf numFmtId="0" fontId="6" fillId="3" borderId="1" xfId="0" applyFont="1" applyFill="1" applyBorder="1" applyAlignment="1">
      <alignment horizontal="center"/>
    </xf>
    <xf numFmtId="4" fontId="0" fillId="0" borderId="2" xfId="0" applyNumberFormat="1" applyBorder="1"/>
  </cellXfs>
  <cellStyles count="2">
    <cellStyle name="Comma" xfId="1" builtinId="3"/>
    <cellStyle name="Normal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8"/>
    </mc:Choice>
    <mc:Fallback>
      <c:style val="48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032241818481252E-2"/>
          <c:y val="4.4494697018458644E-2"/>
          <c:w val="0.91853928775508231"/>
          <c:h val="0.90419332460826596"/>
        </c:manualLayout>
      </c:layout>
      <c:lineChart>
        <c:grouping val="standard"/>
        <c:varyColors val="0"/>
        <c:ser>
          <c:idx val="0"/>
          <c:order val="0"/>
          <c:spPr>
            <a:ln w="2857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Simple!$B$4:$B$21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607-47E6-81FD-89E36EB48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211584"/>
        <c:axId val="168948864"/>
      </c:lineChart>
      <c:catAx>
        <c:axId val="168211584"/>
        <c:scaling>
          <c:orientation val="minMax"/>
        </c:scaling>
        <c:delete val="0"/>
        <c:axPos val="b"/>
        <c:majorTickMark val="none"/>
        <c:minorTickMark val="none"/>
        <c:tickLblPos val="none"/>
        <c:crossAx val="168948864"/>
        <c:crosses val="autoZero"/>
        <c:auto val="1"/>
        <c:lblAlgn val="ctr"/>
        <c:lblOffset val="100"/>
        <c:tickMarkSkip val="1"/>
        <c:noMultiLvlLbl val="0"/>
      </c:catAx>
      <c:valAx>
        <c:axId val="168948864"/>
        <c:scaling>
          <c:orientation val="minMax"/>
          <c:max val="1.5"/>
          <c:min val="-1.5"/>
        </c:scaling>
        <c:delete val="0"/>
        <c:axPos val="l"/>
        <c:numFmt formatCode="General" sourceLinked="1"/>
        <c:majorTickMark val="none"/>
        <c:minorTickMark val="none"/>
        <c:tickLblPos val="none"/>
        <c:crossAx val="168211584"/>
        <c:crosses val="autoZero"/>
        <c:crossBetween val="between"/>
        <c:majorUnit val="0.5"/>
        <c:minorUnit val="0.5"/>
      </c:valAx>
      <c:spPr>
        <a:solidFill>
          <a:schemeClr val="tx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741705413912349E-2"/>
          <c:y val="5.2631578947368432E-2"/>
          <c:w val="0.96086289303849193"/>
          <c:h val="0.87719298245614064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bg1"/>
              </a:solidFill>
              <a:prstDash val="solid"/>
            </a:ln>
          </c:spPr>
          <c:marker>
            <c:symbol val="none"/>
          </c:marker>
          <c:val>
            <c:numRef>
              <c:f>'Example-1'!$J$3:$J$40</c:f>
              <c:numCache>
                <c:formatCode>#,##0.00</c:formatCode>
                <c:ptCount val="38"/>
                <c:pt idx="0">
                  <c:v>-4.3837267531113833E-2</c:v>
                </c:pt>
                <c:pt idx="1">
                  <c:v>1.1514072066184373</c:v>
                </c:pt>
                <c:pt idx="2">
                  <c:v>1.3221601792523177</c:v>
                </c:pt>
                <c:pt idx="3">
                  <c:v>0.31649019786927524</c:v>
                </c:pt>
                <c:pt idx="4">
                  <c:v>-0.97078434197605867</c:v>
                </c:pt>
                <c:pt idx="5">
                  <c:v>-1.3942808001469913</c:v>
                </c:pt>
                <c:pt idx="6">
                  <c:v>-0.57718329445677341</c:v>
                </c:pt>
                <c:pt idx="7">
                  <c:v>0.75347655181008943</c:v>
                </c:pt>
                <c:pt idx="8">
                  <c:v>1.4137130070441244</c:v>
                </c:pt>
                <c:pt idx="9">
                  <c:v>0.81606523767574146</c:v>
                </c:pt>
                <c:pt idx="10">
                  <c:v>-0.50769567035933449</c:v>
                </c:pt>
                <c:pt idx="11">
                  <c:v>-1.3797224771575363</c:v>
                </c:pt>
                <c:pt idx="12">
                  <c:v>-1.0241089285949376</c:v>
                </c:pt>
                <c:pt idx="13">
                  <c:v>0.24272950021936335</c:v>
                </c:pt>
                <c:pt idx="14">
                  <c:v>1.2935936770813821</c:v>
                </c:pt>
                <c:pt idx="15">
                  <c:v>1.1934526136023409</c:v>
                </c:pt>
                <c:pt idx="16">
                  <c:v>3.1409164009047918E-2</c:v>
                </c:pt>
                <c:pt idx="17">
                  <c:v>-1.1585813241402101</c:v>
                </c:pt>
                <c:pt idx="18">
                  <c:v>-1.3176969718562683</c:v>
                </c:pt>
                <c:pt idx="19">
                  <c:v>-0.30436090876151811</c:v>
                </c:pt>
                <c:pt idx="20">
                  <c:v>0.97978739402341986</c:v>
                </c:pt>
                <c:pt idx="21">
                  <c:v>1.3921469389307797</c:v>
                </c:pt>
                <c:pt idx="22">
                  <c:v>0.56581117291997596</c:v>
                </c:pt>
                <c:pt idx="23">
                  <c:v>-0.7639683224570486</c:v>
                </c:pt>
                <c:pt idx="24">
                  <c:v>-1.4139891283925885</c:v>
                </c:pt>
                <c:pt idx="25">
                  <c:v>-0.80588002429551464</c:v>
                </c:pt>
                <c:pt idx="26">
                  <c:v>0.51927968656017809</c:v>
                </c:pt>
                <c:pt idx="27">
                  <c:v>1.3823981467335469</c:v>
                </c:pt>
                <c:pt idx="28">
                  <c:v>1.0154955119383291</c:v>
                </c:pt>
                <c:pt idx="29">
                  <c:v>-0.25496801411061942</c:v>
                </c:pt>
                <c:pt idx="30">
                  <c:v>-1.2985677841285357</c:v>
                </c:pt>
                <c:pt idx="31">
                  <c:v>-1.1867364856812099</c:v>
                </c:pt>
                <c:pt idx="32">
                  <c:v>-1.8978633074426488E-2</c:v>
                </c:pt>
                <c:pt idx="33">
                  <c:v>1.165665902352623</c:v>
                </c:pt>
                <c:pt idx="34">
                  <c:v>1.3131319281243941</c:v>
                </c:pt>
                <c:pt idx="35">
                  <c:v>0.29220809755393173</c:v>
                </c:pt>
                <c:pt idx="36">
                  <c:v>-0.98871472459594589</c:v>
                </c:pt>
                <c:pt idx="37">
                  <c:v>-1.3899054876189552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D4C-4E6C-88D5-06D915E2E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167616"/>
        <c:axId val="243169152"/>
      </c:lineChart>
      <c:catAx>
        <c:axId val="243167616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9525">
            <a:noFill/>
          </a:ln>
        </c:spPr>
        <c:crossAx val="243169152"/>
        <c:crosses val="autoZero"/>
        <c:auto val="0"/>
        <c:lblAlgn val="ctr"/>
        <c:lblOffset val="100"/>
        <c:tickMarkSkip val="1"/>
        <c:noMultiLvlLbl val="0"/>
      </c:catAx>
      <c:valAx>
        <c:axId val="243169152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one"/>
        <c:spPr>
          <a:ln w="9525">
            <a:noFill/>
          </a:ln>
        </c:spPr>
        <c:crossAx val="24316761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tx1"/>
    </a:solidFill>
    <a:ln w="38100">
      <a:solidFill>
        <a:sysClr val="windowText" lastClr="000000"/>
      </a:solidFill>
      <a:prstDash val="solid"/>
    </a:ln>
    <a:effectLst/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56" r="0.75000000000000056" t="1" header="0.5" footer="0.5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272708558489089E-3"/>
          <c:y val="2.2222222222222247E-2"/>
          <c:w val="0.96347733003962743"/>
          <c:h val="0.94814814814814863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tx1"/>
              </a:solidFill>
              <a:prstDash val="solid"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c:spPr>
          <c:marker>
            <c:symbol val="none"/>
          </c:marker>
          <c:val>
            <c:numRef>
              <c:f>'Example-1'!$K$3:$K$40</c:f>
              <c:numCache>
                <c:formatCode>#,##0.00</c:formatCode>
                <c:ptCount val="38"/>
                <c:pt idx="0">
                  <c:v>-1.3899054876189552</c:v>
                </c:pt>
                <c:pt idx="1">
                  <c:v>-0.98871472459594589</c:v>
                </c:pt>
                <c:pt idx="2">
                  <c:v>0.29220809755393173</c:v>
                </c:pt>
                <c:pt idx="3">
                  <c:v>1.3131319281243941</c:v>
                </c:pt>
                <c:pt idx="4">
                  <c:v>1.165665902352623</c:v>
                </c:pt>
                <c:pt idx="5">
                  <c:v>-1.8978633074426488E-2</c:v>
                </c:pt>
                <c:pt idx="6">
                  <c:v>-1.1867364856812099</c:v>
                </c:pt>
                <c:pt idx="7">
                  <c:v>-1.2985677841285357</c:v>
                </c:pt>
                <c:pt idx="8">
                  <c:v>-0.25496801411061942</c:v>
                </c:pt>
                <c:pt idx="9">
                  <c:v>1.0154955119383291</c:v>
                </c:pt>
                <c:pt idx="10">
                  <c:v>1.3823981467335469</c:v>
                </c:pt>
                <c:pt idx="11">
                  <c:v>0.51927968656017809</c:v>
                </c:pt>
                <c:pt idx="12">
                  <c:v>-0.80588002429551464</c:v>
                </c:pt>
                <c:pt idx="13">
                  <c:v>-1.4139891283925885</c:v>
                </c:pt>
                <c:pt idx="14">
                  <c:v>-0.7639683224570486</c:v>
                </c:pt>
                <c:pt idx="15">
                  <c:v>0.56581117291997596</c:v>
                </c:pt>
                <c:pt idx="16">
                  <c:v>1.3921469389307797</c:v>
                </c:pt>
                <c:pt idx="17">
                  <c:v>0.97978739402341986</c:v>
                </c:pt>
                <c:pt idx="18">
                  <c:v>-0.30436090876151811</c:v>
                </c:pt>
                <c:pt idx="19">
                  <c:v>-1.3176969718562683</c:v>
                </c:pt>
                <c:pt idx="20">
                  <c:v>-1.1585813241402101</c:v>
                </c:pt>
                <c:pt idx="21">
                  <c:v>3.1409164009047918E-2</c:v>
                </c:pt>
                <c:pt idx="22">
                  <c:v>1.1934526136023409</c:v>
                </c:pt>
                <c:pt idx="23">
                  <c:v>1.2935936770813821</c:v>
                </c:pt>
                <c:pt idx="24">
                  <c:v>0.24272950021936335</c:v>
                </c:pt>
                <c:pt idx="25">
                  <c:v>-1.0241089285949376</c:v>
                </c:pt>
                <c:pt idx="26">
                  <c:v>-1.3797224771575363</c:v>
                </c:pt>
                <c:pt idx="27">
                  <c:v>-0.50769567035933449</c:v>
                </c:pt>
                <c:pt idx="28">
                  <c:v>0.81606523767574146</c:v>
                </c:pt>
                <c:pt idx="29">
                  <c:v>1.4137130070441244</c:v>
                </c:pt>
                <c:pt idx="30">
                  <c:v>0.75347655181008943</c:v>
                </c:pt>
                <c:pt idx="31">
                  <c:v>-0.57718329445677341</c:v>
                </c:pt>
                <c:pt idx="32">
                  <c:v>-1.3942808001469913</c:v>
                </c:pt>
                <c:pt idx="33">
                  <c:v>-0.97078434197605867</c:v>
                </c:pt>
                <c:pt idx="34">
                  <c:v>0.31649019786927524</c:v>
                </c:pt>
                <c:pt idx="35">
                  <c:v>1.3221601792523177</c:v>
                </c:pt>
                <c:pt idx="36">
                  <c:v>1.1514072066184373</c:v>
                </c:pt>
                <c:pt idx="37">
                  <c:v>-4.3837267531113833E-2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27D-4CCE-BAE9-563D6140D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2897024"/>
        <c:axId val="285081984"/>
      </c:lineChart>
      <c:catAx>
        <c:axId val="282897024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9525">
            <a:noFill/>
          </a:ln>
        </c:spPr>
        <c:crossAx val="285081984"/>
        <c:crosses val="autoZero"/>
        <c:auto val="0"/>
        <c:lblAlgn val="ctr"/>
        <c:lblOffset val="100"/>
        <c:tickMarkSkip val="1"/>
        <c:noMultiLvlLbl val="0"/>
      </c:catAx>
      <c:valAx>
        <c:axId val="285081984"/>
        <c:scaling>
          <c:orientation val="minMax"/>
        </c:scaling>
        <c:delete val="1"/>
        <c:axPos val="l"/>
        <c:numFmt formatCode="#,##0.00" sourceLinked="0"/>
        <c:majorTickMark val="none"/>
        <c:minorTickMark val="none"/>
        <c:tickLblPos val="none"/>
        <c:crossAx val="282897024"/>
        <c:crosses val="autoZero"/>
        <c:crossBetween val="midCat"/>
      </c:valAx>
      <c:spPr>
        <a:noFill/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c:spPr>
    </c:plotArea>
    <c:plotVisOnly val="1"/>
    <c:dispBlanksAs val="gap"/>
    <c:showDLblsOverMax val="0"/>
  </c:chart>
  <c:spPr>
    <a:noFill/>
    <a:ln w="38100">
      <a:solidFill>
        <a:schemeClr val="tx1"/>
      </a:solidFill>
    </a:ln>
    <a:effectLst/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56" r="0.75000000000000056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view3D>
      <c:rotX val="15"/>
      <c:rotY val="20"/>
      <c:depthPercent val="1000"/>
      <c:rAngAx val="0"/>
      <c:perspective val="20"/>
    </c:view3D>
    <c:floor>
      <c:thickness val="0"/>
      <c:spPr>
        <a:noFill/>
        <a:ln w="25400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2.5692942228375357E-2"/>
          <c:y val="3.108462793502164E-2"/>
          <c:w val="0.96510301596915771"/>
          <c:h val="0.95843525701793419"/>
        </c:manualLayout>
      </c:layout>
      <c:line3DChart>
        <c:grouping val="standard"/>
        <c:varyColors val="0"/>
        <c:ser>
          <c:idx val="0"/>
          <c:order val="0"/>
          <c:spPr>
            <a:gradFill>
              <a:gsLst>
                <a:gs pos="0">
                  <a:srgbClr val="000082"/>
                </a:gs>
                <a:gs pos="30000">
                  <a:srgbClr val="66008F"/>
                </a:gs>
                <a:gs pos="64999">
                  <a:srgbClr val="BA0066"/>
                </a:gs>
                <a:gs pos="89999">
                  <a:srgbClr val="FF0000"/>
                </a:gs>
                <a:gs pos="100000">
                  <a:srgbClr val="FF8200"/>
                </a:gs>
              </a:gsLst>
              <a:lin ang="5400000" scaled="0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val>
            <c:numRef>
              <c:f>'Example-2'!$L$3:$L$12</c:f>
              <c:numCache>
                <c:formatCode>0.00</c:formatCode>
                <c:ptCount val="10"/>
                <c:pt idx="0">
                  <c:v>-0.52740835106472617</c:v>
                </c:pt>
                <c:pt idx="1">
                  <c:v>-0.41624137241936054</c:v>
                </c:pt>
                <c:pt idx="2">
                  <c:v>7.7616004432926974E-2</c:v>
                </c:pt>
                <c:pt idx="3">
                  <c:v>0.50011358475412493</c:v>
                </c:pt>
                <c:pt idx="4">
                  <c:v>0.46280904164434311</c:v>
                </c:pt>
                <c:pt idx="5">
                  <c:v>0</c:v>
                </c:pt>
                <c:pt idx="6">
                  <c:v>-0.46280904164434311</c:v>
                </c:pt>
                <c:pt idx="7">
                  <c:v>-0.50011358475412493</c:v>
                </c:pt>
                <c:pt idx="8">
                  <c:v>-7.7616004432926974E-2</c:v>
                </c:pt>
                <c:pt idx="9">
                  <c:v>0.41624137241936054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A-4351-8817-2064B8759EC5}"/>
            </c:ext>
          </c:extLst>
        </c:ser>
        <c:ser>
          <c:idx val="1"/>
          <c:order val="1"/>
          <c:spPr>
            <a:gradFill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val>
            <c:numRef>
              <c:f>'Example-2'!$M$3:$M$12</c:f>
              <c:numCache>
                <c:formatCode>0.00</c:formatCode>
                <c:ptCount val="10"/>
                <c:pt idx="0">
                  <c:v>0.52740835106472617</c:v>
                </c:pt>
                <c:pt idx="1">
                  <c:v>0.41624137241936054</c:v>
                </c:pt>
                <c:pt idx="2">
                  <c:v>-7.7616004432926974E-2</c:v>
                </c:pt>
                <c:pt idx="3">
                  <c:v>-0.50011358475412493</c:v>
                </c:pt>
                <c:pt idx="4">
                  <c:v>-0.46280904164434311</c:v>
                </c:pt>
                <c:pt idx="5">
                  <c:v>0</c:v>
                </c:pt>
                <c:pt idx="6">
                  <c:v>0.46280904164434311</c:v>
                </c:pt>
                <c:pt idx="7">
                  <c:v>0.50011358475412493</c:v>
                </c:pt>
                <c:pt idx="8">
                  <c:v>7.7616004432926974E-2</c:v>
                </c:pt>
                <c:pt idx="9">
                  <c:v>-0.41624137241936054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BA-4351-8817-2064B8759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Depth val="20"/>
        <c:axId val="282863488"/>
        <c:axId val="282865024"/>
        <c:axId val="153247232"/>
      </c:line3DChart>
      <c:catAx>
        <c:axId val="282863488"/>
        <c:scaling>
          <c:orientation val="minMax"/>
        </c:scaling>
        <c:delete val="1"/>
        <c:axPos val="b"/>
        <c:majorTickMark val="out"/>
        <c:minorTickMark val="none"/>
        <c:tickLblPos val="nextTo"/>
        <c:crossAx val="282865024"/>
        <c:crosses val="autoZero"/>
        <c:auto val="0"/>
        <c:lblAlgn val="ctr"/>
        <c:lblOffset val="100"/>
        <c:noMultiLvlLbl val="1"/>
      </c:catAx>
      <c:valAx>
        <c:axId val="282865024"/>
        <c:scaling>
          <c:orientation val="minMax"/>
          <c:max val="1"/>
          <c:min val="-1"/>
        </c:scaling>
        <c:delete val="1"/>
        <c:axPos val="l"/>
        <c:numFmt formatCode="0.00" sourceLinked="1"/>
        <c:majorTickMark val="out"/>
        <c:minorTickMark val="none"/>
        <c:tickLblPos val="nextTo"/>
        <c:crossAx val="282863488"/>
        <c:crosses val="autoZero"/>
        <c:crossBetween val="midCat"/>
        <c:majorUnit val="0.25"/>
        <c:minorUnit val="0.05"/>
      </c:valAx>
      <c:serAx>
        <c:axId val="153247232"/>
        <c:scaling>
          <c:orientation val="minMax"/>
        </c:scaling>
        <c:delete val="1"/>
        <c:axPos val="b"/>
        <c:majorTickMark val="out"/>
        <c:minorTickMark val="none"/>
        <c:tickLblPos val="nextTo"/>
        <c:crossAx val="282865024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effectLst/>
    <a:scene3d>
      <a:camera prst="orthographicFront"/>
      <a:lightRig rig="threePt" dir="t"/>
    </a:scene3d>
    <a:sp3d>
      <a:bevelT/>
    </a:sp3d>
  </c:spPr>
  <c:printSettings>
    <c:headerFooter alignWithMargins="0">
      <c:oddHeader>&amp;A</c:oddHeader>
      <c:oddFooter>Page &amp;P</c:oddFooter>
    </c:headerFooter>
    <c:pageMargins b="1" l="0.75000000000000056" r="0.75000000000000056" t="1" header="0.5" footer="0.5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386448731823303E-3"/>
          <c:y val="7.8292839854162272E-3"/>
          <c:w val="0.96611539432426119"/>
          <c:h val="0.94217314940895547"/>
        </c:manualLayout>
      </c:layout>
      <c:lineChart>
        <c:grouping val="standard"/>
        <c:varyColors val="0"/>
        <c:ser>
          <c:idx val="0"/>
          <c:order val="0"/>
          <c:spPr>
            <a:ln w="9525">
              <a:solidFill>
                <a:schemeClr val="accent5">
                  <a:lumMod val="75000"/>
                  <a:alpha val="82000"/>
                </a:schemeClr>
              </a:solidFill>
              <a:prstDash val="dash"/>
            </a:ln>
            <a:effectLst/>
          </c:spPr>
          <c:marker>
            <c:symbol val="circle"/>
            <c:size val="11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val>
            <c:numRef>
              <c:f>'Example-3'!$Q$4:$Q$21</c:f>
              <c:numCache>
                <c:formatCode>General</c:formatCode>
                <c:ptCount val="18"/>
                <c:pt idx="0">
                  <c:v>0</c:v>
                </c:pt>
                <c:pt idx="1">
                  <c:v>0.88217696692465986</c:v>
                </c:pt>
                <c:pt idx="2">
                  <c:v>-0.83086609382848309</c:v>
                </c:pt>
                <c:pt idx="3">
                  <c:v>-9.9637304525201281E-2</c:v>
                </c:pt>
                <c:pt idx="4">
                  <c:v>0.92470810185443408</c:v>
                </c:pt>
                <c:pt idx="5">
                  <c:v>-0.77128614657970207</c:v>
                </c:pt>
                <c:pt idx="6">
                  <c:v>-0.19828298324521931</c:v>
                </c:pt>
                <c:pt idx="7">
                  <c:v>0.95803621367326808</c:v>
                </c:pt>
                <c:pt idx="8">
                  <c:v>-0.70403008595186967</c:v>
                </c:pt>
                <c:pt idx="9">
                  <c:v>-0.2949552793663614</c:v>
                </c:pt>
                <c:pt idx="10">
                  <c:v>0.98182960918754603</c:v>
                </c:pt>
                <c:pt idx="11">
                  <c:v>-0.62976726812256834</c:v>
                </c:pt>
                <c:pt idx="12">
                  <c:v>-0.38869207589870769</c:v>
                </c:pt>
                <c:pt idx="13">
                  <c:v>0.99585148808334123</c:v>
                </c:pt>
                <c:pt idx="14">
                  <c:v>-0.54923678300288215</c:v>
                </c:pt>
                <c:pt idx="15">
                  <c:v>-0.47856047098585858</c:v>
                </c:pt>
                <c:pt idx="16">
                  <c:v>0.99996229964699601</c:v>
                </c:pt>
                <c:pt idx="17">
                  <c:v>-0.46324009855250387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095-4C64-8DA0-5819CA4BA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5188864"/>
        <c:axId val="285190784"/>
      </c:lineChart>
      <c:catAx>
        <c:axId val="285188864"/>
        <c:scaling>
          <c:orientation val="minMax"/>
        </c:scaling>
        <c:delete val="1"/>
        <c:axPos val="b"/>
        <c:majorTickMark val="none"/>
        <c:minorTickMark val="none"/>
        <c:tickLblPos val="none"/>
        <c:crossAx val="285190784"/>
        <c:crosses val="autoZero"/>
        <c:auto val="1"/>
        <c:lblAlgn val="ctr"/>
        <c:lblOffset val="100"/>
        <c:tickMarkSkip val="1"/>
        <c:noMultiLvlLbl val="0"/>
      </c:catAx>
      <c:valAx>
        <c:axId val="285190784"/>
        <c:scaling>
          <c:orientation val="minMax"/>
          <c:max val="1.5"/>
          <c:min val="-1.5"/>
        </c:scaling>
        <c:delete val="0"/>
        <c:axPos val="l"/>
        <c:numFmt formatCode="General" sourceLinked="1"/>
        <c:majorTickMark val="none"/>
        <c:minorTickMark val="none"/>
        <c:tickLblPos val="none"/>
        <c:crossAx val="285188864"/>
        <c:crosses val="autoZero"/>
        <c:crossBetween val="between"/>
        <c:majorUnit val="0.5"/>
        <c:minorUnit val="0.5"/>
      </c:valAx>
      <c:spPr>
        <a:solidFill>
          <a:schemeClr val="accent6">
            <a:lumMod val="20000"/>
            <a:lumOff val="80000"/>
          </a:schemeClr>
        </a:solidFill>
        <a:ln w="38100" cap="flat" cmpd="sng" algn="ctr">
          <a:solidFill>
            <a:schemeClr val="tx1"/>
          </a:solidFill>
          <a:prstDash val="solid"/>
        </a:ln>
        <a:effectLst>
          <a:outerShdw blurRad="317500" dist="38100" dir="2700000" algn="tl" rotWithShape="0">
            <a:prstClr val="black">
              <a:alpha val="55000"/>
            </a:prstClr>
          </a:outerShdw>
        </a:effectLst>
      </c:spPr>
    </c:plotArea>
    <c:plotVisOnly val="1"/>
    <c:dispBlanksAs val="gap"/>
    <c:showDLblsOverMax val="0"/>
  </c:chart>
  <c:spPr>
    <a:ln>
      <a:noFill/>
    </a:ln>
  </c:spPr>
  <c:printSettings>
    <c:headerFooter alignWithMargins="0"/>
    <c:pageMargins b="1" l="0.75000000000000056" r="0.75000000000000056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1"/>
    <c:view3D>
      <c:rotX val="15"/>
      <c:hPercent val="100"/>
      <c:rotY val="360"/>
      <c:depthPercent val="180"/>
      <c:rAngAx val="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'Example-4'!$B$36:$B$50</c:f>
              <c:numCache>
                <c:formatCode>0.000</c:formatCode>
                <c:ptCount val="15"/>
                <c:pt idx="0">
                  <c:v>0.34391883025050934</c:v>
                </c:pt>
                <c:pt idx="1">
                  <c:v>0</c:v>
                </c:pt>
                <c:pt idx="2">
                  <c:v>-0.34391883025050934</c:v>
                </c:pt>
                <c:pt idx="3">
                  <c:v>-0.60363433626716434</c:v>
                </c:pt>
                <c:pt idx="4">
                  <c:v>-0.7155591042821563</c:v>
                </c:pt>
                <c:pt idx="5">
                  <c:v>-0.65229004757266595</c:v>
                </c:pt>
                <c:pt idx="6">
                  <c:v>-0.42931763780667015</c:v>
                </c:pt>
                <c:pt idx="7">
                  <c:v>-0.1012332973295355</c:v>
                </c:pt>
                <c:pt idx="8">
                  <c:v>0.25163648496854291</c:v>
                </c:pt>
                <c:pt idx="9">
                  <c:v>0.54289687961709976</c:v>
                </c:pt>
                <c:pt idx="10">
                  <c:v>0.70123718394478451</c:v>
                </c:pt>
                <c:pt idx="11">
                  <c:v>0.68789016914100931</c:v>
                </c:pt>
                <c:pt idx="12">
                  <c:v>0.50612364992315295</c:v>
                </c:pt>
                <c:pt idx="13">
                  <c:v>0.20044040952472411</c:v>
                </c:pt>
                <c:pt idx="14">
                  <c:v>-0.15431763372902724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30-4046-84DA-2A2E7E4124BD}"/>
            </c:ext>
          </c:extLst>
        </c:ser>
        <c:ser>
          <c:idx val="1"/>
          <c:order val="1"/>
          <c:val>
            <c:numRef>
              <c:f>'Example-4'!$C$36:$C$50</c:f>
              <c:numCache>
                <c:formatCode>0.000</c:formatCode>
                <c:ptCount val="15"/>
                <c:pt idx="0">
                  <c:v>0.27070402192622423</c:v>
                </c:pt>
                <c:pt idx="1">
                  <c:v>0</c:v>
                </c:pt>
                <c:pt idx="2">
                  <c:v>-0.27070402192622423</c:v>
                </c:pt>
                <c:pt idx="3">
                  <c:v>-0.47513025815208698</c:v>
                </c:pt>
                <c:pt idx="4">
                  <c:v>-0.56322803643526109</c:v>
                </c:pt>
                <c:pt idx="5">
                  <c:v>-0.51342794813459425</c:v>
                </c:pt>
                <c:pt idx="6">
                  <c:v>-0.33792279170488815</c:v>
                </c:pt>
                <c:pt idx="7">
                  <c:v>-7.968235039645076E-2</c:v>
                </c:pt>
                <c:pt idx="8">
                  <c:v>0.19806710930816085</c:v>
                </c:pt>
                <c:pt idx="9">
                  <c:v>0.42732283282220329</c:v>
                </c:pt>
                <c:pt idx="10">
                  <c:v>0.55195502345656045</c:v>
                </c:pt>
                <c:pt idx="11">
                  <c:v>0.54144937424433481</c:v>
                </c:pt>
                <c:pt idx="12">
                  <c:v>0.3983780345100047</c:v>
                </c:pt>
                <c:pt idx="13">
                  <c:v>0.15776985800794757</c:v>
                </c:pt>
                <c:pt idx="14">
                  <c:v>-0.12146588215061473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30-4046-84DA-2A2E7E4124BD}"/>
            </c:ext>
          </c:extLst>
        </c:ser>
        <c:ser>
          <c:idx val="2"/>
          <c:order val="2"/>
          <c:val>
            <c:numRef>
              <c:f>'Example-4'!$D$36:$D$50</c:f>
              <c:numCache>
                <c:formatCode>0.000</c:formatCode>
                <c:ptCount val="15"/>
                <c:pt idx="0">
                  <c:v>0.18669709850368069</c:v>
                </c:pt>
                <c:pt idx="1">
                  <c:v>0</c:v>
                </c:pt>
                <c:pt idx="2">
                  <c:v>-0.18669709850368069</c:v>
                </c:pt>
                <c:pt idx="3">
                  <c:v>-0.32768423600471874</c:v>
                </c:pt>
                <c:pt idx="4">
                  <c:v>-0.3884428441445405</c:v>
                </c:pt>
                <c:pt idx="5">
                  <c:v>-0.35409709661997846</c:v>
                </c:pt>
                <c:pt idx="6">
                  <c:v>-0.2330560302748666</c:v>
                </c:pt>
                <c:pt idx="7">
                  <c:v>-5.4954719605256899E-2</c:v>
                </c:pt>
                <c:pt idx="8">
                  <c:v>0.13660142303656969</c:v>
                </c:pt>
                <c:pt idx="9">
                  <c:v>0.29471277317786371</c:v>
                </c:pt>
                <c:pt idx="10">
                  <c:v>0.38066815797792225</c:v>
                </c:pt>
                <c:pt idx="11">
                  <c:v>0.37342270143884454</c:v>
                </c:pt>
                <c:pt idx="12">
                  <c:v>0.27475034401552767</c:v>
                </c:pt>
                <c:pt idx="13">
                  <c:v>0.10880952012397145</c:v>
                </c:pt>
                <c:pt idx="14">
                  <c:v>-8.3771669158613782E-2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30-4046-84DA-2A2E7E4124BD}"/>
            </c:ext>
          </c:extLst>
        </c:ser>
        <c:ser>
          <c:idx val="3"/>
          <c:order val="3"/>
          <c:val>
            <c:numRef>
              <c:f>'Example-4'!$E$36:$E$50</c:f>
              <c:numCache>
                <c:formatCode>0.000</c:formatCode>
                <c:ptCount val="15"/>
                <c:pt idx="0">
                  <c:v>9.5247150920558826E-2</c:v>
                </c:pt>
                <c:pt idx="1">
                  <c:v>0</c:v>
                </c:pt>
                <c:pt idx="2">
                  <c:v>-9.5247150920558826E-2</c:v>
                </c:pt>
                <c:pt idx="3">
                  <c:v>-0.16717447743524597</c:v>
                </c:pt>
                <c:pt idx="4">
                  <c:v>-0.1981716614600561</c:v>
                </c:pt>
                <c:pt idx="5">
                  <c:v>-0.18064951128112938</c:v>
                </c:pt>
                <c:pt idx="6">
                  <c:v>-0.11889806036861852</c:v>
                </c:pt>
                <c:pt idx="7">
                  <c:v>-2.8036217563047472E-2</c:v>
                </c:pt>
                <c:pt idx="8">
                  <c:v>6.9689869099228377E-2</c:v>
                </c:pt>
                <c:pt idx="9">
                  <c:v>0.15035344528685859</c:v>
                </c:pt>
                <c:pt idx="10">
                  <c:v>0.19420525430854232</c:v>
                </c:pt>
                <c:pt idx="11">
                  <c:v>0.19050884393046524</c:v>
                </c:pt>
                <c:pt idx="12">
                  <c:v>0.14016922432999943</c:v>
                </c:pt>
                <c:pt idx="13">
                  <c:v>5.5511290040949249E-2</c:v>
                </c:pt>
                <c:pt idx="14">
                  <c:v>-4.2737744074047859E-2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130-4046-84DA-2A2E7E4124BD}"/>
            </c:ext>
          </c:extLst>
        </c:ser>
        <c:ser>
          <c:idx val="4"/>
          <c:order val="4"/>
          <c:val>
            <c:numRef>
              <c:f>'Example-4'!$F$36:$F$50</c:f>
              <c:numCache>
                <c:formatCode>0.000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130-4046-84DA-2A2E7E4124BD}"/>
            </c:ext>
          </c:extLst>
        </c:ser>
        <c:ser>
          <c:idx val="5"/>
          <c:order val="5"/>
          <c:val>
            <c:numRef>
              <c:f>'Example-4'!$G$36:$G$50</c:f>
              <c:numCache>
                <c:formatCode>0.000</c:formatCode>
                <c:ptCount val="15"/>
                <c:pt idx="0">
                  <c:v>-9.5247150920558799E-2</c:v>
                </c:pt>
                <c:pt idx="1">
                  <c:v>0</c:v>
                </c:pt>
                <c:pt idx="2">
                  <c:v>9.5247150920558799E-2</c:v>
                </c:pt>
                <c:pt idx="3">
                  <c:v>0.16717447743524591</c:v>
                </c:pt>
                <c:pt idx="4">
                  <c:v>0.19817166146005605</c:v>
                </c:pt>
                <c:pt idx="5">
                  <c:v>0.18064951128112933</c:v>
                </c:pt>
                <c:pt idx="6">
                  <c:v>0.11889806036861848</c:v>
                </c:pt>
                <c:pt idx="7">
                  <c:v>2.8036217563047465E-2</c:v>
                </c:pt>
                <c:pt idx="8">
                  <c:v>-6.9689869099228363E-2</c:v>
                </c:pt>
                <c:pt idx="9">
                  <c:v>-0.15035344528685854</c:v>
                </c:pt>
                <c:pt idx="10">
                  <c:v>-0.19420525430854227</c:v>
                </c:pt>
                <c:pt idx="11">
                  <c:v>-0.19050884393046519</c:v>
                </c:pt>
                <c:pt idx="12">
                  <c:v>-0.14016922432999937</c:v>
                </c:pt>
                <c:pt idx="13">
                  <c:v>-5.5511290040949235E-2</c:v>
                </c:pt>
                <c:pt idx="14">
                  <c:v>4.2737744074047852E-2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130-4046-84DA-2A2E7E4124BD}"/>
            </c:ext>
          </c:extLst>
        </c:ser>
        <c:ser>
          <c:idx val="6"/>
          <c:order val="6"/>
          <c:val>
            <c:numRef>
              <c:f>'Example-4'!$H$36:$H$50</c:f>
              <c:numCache>
                <c:formatCode>0.000</c:formatCode>
                <c:ptCount val="15"/>
                <c:pt idx="0">
                  <c:v>-0.18669709850368066</c:v>
                </c:pt>
                <c:pt idx="1">
                  <c:v>0</c:v>
                </c:pt>
                <c:pt idx="2">
                  <c:v>0.18669709850368066</c:v>
                </c:pt>
                <c:pt idx="3">
                  <c:v>0.32768423600471869</c:v>
                </c:pt>
                <c:pt idx="4">
                  <c:v>0.38844284414454044</c:v>
                </c:pt>
                <c:pt idx="5">
                  <c:v>0.3540970966199784</c:v>
                </c:pt>
                <c:pt idx="6">
                  <c:v>0.23305603027486657</c:v>
                </c:pt>
                <c:pt idx="7">
                  <c:v>5.4954719605256892E-2</c:v>
                </c:pt>
                <c:pt idx="8">
                  <c:v>-0.13660142303656966</c:v>
                </c:pt>
                <c:pt idx="9">
                  <c:v>-0.29471277317786365</c:v>
                </c:pt>
                <c:pt idx="10">
                  <c:v>-0.38066815797792219</c:v>
                </c:pt>
                <c:pt idx="11">
                  <c:v>-0.37342270143884448</c:v>
                </c:pt>
                <c:pt idx="12">
                  <c:v>-0.27475034401552761</c:v>
                </c:pt>
                <c:pt idx="13">
                  <c:v>-0.10880952012397144</c:v>
                </c:pt>
                <c:pt idx="14">
                  <c:v>8.3771669158613768E-2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130-4046-84DA-2A2E7E4124BD}"/>
            </c:ext>
          </c:extLst>
        </c:ser>
        <c:ser>
          <c:idx val="7"/>
          <c:order val="7"/>
          <c:val>
            <c:numRef>
              <c:f>'Example-4'!$I$36:$I$50</c:f>
              <c:numCache>
                <c:formatCode>0.000</c:formatCode>
                <c:ptCount val="15"/>
                <c:pt idx="0">
                  <c:v>-0.27070402192622423</c:v>
                </c:pt>
                <c:pt idx="1">
                  <c:v>0</c:v>
                </c:pt>
                <c:pt idx="2">
                  <c:v>0.27070402192622423</c:v>
                </c:pt>
                <c:pt idx="3">
                  <c:v>0.47513025815208698</c:v>
                </c:pt>
                <c:pt idx="4">
                  <c:v>0.56322803643526109</c:v>
                </c:pt>
                <c:pt idx="5">
                  <c:v>0.51342794813459425</c:v>
                </c:pt>
                <c:pt idx="6">
                  <c:v>0.33792279170488815</c:v>
                </c:pt>
                <c:pt idx="7">
                  <c:v>7.968235039645076E-2</c:v>
                </c:pt>
                <c:pt idx="8">
                  <c:v>-0.19806710930816085</c:v>
                </c:pt>
                <c:pt idx="9">
                  <c:v>-0.42732283282220329</c:v>
                </c:pt>
                <c:pt idx="10">
                  <c:v>-0.55195502345656045</c:v>
                </c:pt>
                <c:pt idx="11">
                  <c:v>-0.54144937424433481</c:v>
                </c:pt>
                <c:pt idx="12">
                  <c:v>-0.3983780345100047</c:v>
                </c:pt>
                <c:pt idx="13">
                  <c:v>-0.15776985800794757</c:v>
                </c:pt>
                <c:pt idx="14">
                  <c:v>0.12146588215061473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130-4046-84DA-2A2E7E4124BD}"/>
            </c:ext>
          </c:extLst>
        </c:ser>
        <c:ser>
          <c:idx val="8"/>
          <c:order val="8"/>
          <c:val>
            <c:numRef>
              <c:f>'Example-4'!$J$36:$J$50</c:f>
              <c:numCache>
                <c:formatCode>0.000</c:formatCode>
                <c:ptCount val="15"/>
                <c:pt idx="0">
                  <c:v>-0.34391883025050934</c:v>
                </c:pt>
                <c:pt idx="1">
                  <c:v>0</c:v>
                </c:pt>
                <c:pt idx="2">
                  <c:v>0.34391883025050934</c:v>
                </c:pt>
                <c:pt idx="3">
                  <c:v>0.60363433626716434</c:v>
                </c:pt>
                <c:pt idx="4">
                  <c:v>0.7155591042821563</c:v>
                </c:pt>
                <c:pt idx="5">
                  <c:v>0.65229004757266595</c:v>
                </c:pt>
                <c:pt idx="6">
                  <c:v>0.42931763780667015</c:v>
                </c:pt>
                <c:pt idx="7">
                  <c:v>0.1012332973295355</c:v>
                </c:pt>
                <c:pt idx="8">
                  <c:v>-0.25163648496854291</c:v>
                </c:pt>
                <c:pt idx="9">
                  <c:v>-0.54289687961709976</c:v>
                </c:pt>
                <c:pt idx="10">
                  <c:v>-0.70123718394478451</c:v>
                </c:pt>
                <c:pt idx="11">
                  <c:v>-0.68789016914100931</c:v>
                </c:pt>
                <c:pt idx="12">
                  <c:v>-0.50612364992315295</c:v>
                </c:pt>
                <c:pt idx="13">
                  <c:v>-0.20044040952472411</c:v>
                </c:pt>
                <c:pt idx="14">
                  <c:v>0.15431763372902724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130-4046-84DA-2A2E7E4124BD}"/>
            </c:ext>
          </c:extLst>
        </c:ser>
        <c:ser>
          <c:idx val="9"/>
          <c:order val="9"/>
          <c:val>
            <c:numRef>
              <c:f>'Example-4'!$K$36:$K$50</c:f>
              <c:numCache>
                <c:formatCode>0.000</c:formatCode>
                <c:ptCount val="15"/>
                <c:pt idx="0">
                  <c:v>-0.40342268011133492</c:v>
                </c:pt>
                <c:pt idx="1">
                  <c:v>0</c:v>
                </c:pt>
                <c:pt idx="2">
                  <c:v>0.40342268011133492</c:v>
                </c:pt>
                <c:pt idx="3">
                  <c:v>0.70807341827357118</c:v>
                </c:pt>
                <c:pt idx="4">
                  <c:v>0.83936308871865317</c:v>
                </c:pt>
                <c:pt idx="5">
                  <c:v>0.76514740123429259</c:v>
                </c:pt>
                <c:pt idx="6">
                  <c:v>0.50359694447924963</c:v>
                </c:pt>
                <c:pt idx="7">
                  <c:v>0.11874839215823475</c:v>
                </c:pt>
                <c:pt idx="8">
                  <c:v>-0.29517390805807697</c:v>
                </c:pt>
                <c:pt idx="9">
                  <c:v>-0.6368273410318358</c:v>
                </c:pt>
                <c:pt idx="10">
                  <c:v>-0.82256323079102811</c:v>
                </c:pt>
                <c:pt idx="11">
                  <c:v>-0.80690695375698895</c:v>
                </c:pt>
                <c:pt idx="12">
                  <c:v>-0.59369171257940156</c:v>
                </c:pt>
                <c:pt idx="13">
                  <c:v>-0.23512003444003918</c:v>
                </c:pt>
                <c:pt idx="14">
                  <c:v>0.18101722822811708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130-4046-84DA-2A2E7E4124BD}"/>
            </c:ext>
          </c:extLst>
        </c:ser>
        <c:ser>
          <c:idx val="10"/>
          <c:order val="10"/>
          <c:val>
            <c:numRef>
              <c:f>'Example-4'!$L$36:$L$50</c:f>
              <c:numCache>
                <c:formatCode>0.000</c:formatCode>
                <c:ptCount val="15"/>
                <c:pt idx="0">
                  <c:v>-0.44684334079000654</c:v>
                </c:pt>
                <c:pt idx="1">
                  <c:v>0</c:v>
                </c:pt>
                <c:pt idx="2">
                  <c:v>0.44684334079000654</c:v>
                </c:pt>
                <c:pt idx="3">
                  <c:v>0.78428384754829361</c:v>
                </c:pt>
                <c:pt idx="4">
                  <c:v>0.92970431557133348</c:v>
                </c:pt>
                <c:pt idx="5">
                  <c:v>0.8475007425709592</c:v>
                </c:pt>
                <c:pt idx="6">
                  <c:v>0.55779943016749778</c:v>
                </c:pt>
                <c:pt idx="7">
                  <c:v>0.13152936332380624</c:v>
                </c:pt>
                <c:pt idx="8">
                  <c:v>-0.32694367890846671</c:v>
                </c:pt>
                <c:pt idx="9">
                  <c:v>-0.70536950598451742</c:v>
                </c:pt>
                <c:pt idx="10">
                  <c:v>-0.91109627737401222</c:v>
                </c:pt>
                <c:pt idx="11">
                  <c:v>-0.893754904468817</c:v>
                </c:pt>
                <c:pt idx="12">
                  <c:v>-0.65759116015764729</c:v>
                </c:pt>
                <c:pt idx="13">
                  <c:v>-0.26042616554640402</c:v>
                </c:pt>
                <c:pt idx="14">
                  <c:v>0.20050023707064818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130-4046-84DA-2A2E7E4124BD}"/>
            </c:ext>
          </c:extLst>
        </c:ser>
        <c:bandFmts/>
        <c:axId val="285249536"/>
        <c:axId val="285251072"/>
        <c:axId val="173454656"/>
      </c:surface3DChart>
      <c:catAx>
        <c:axId val="285249536"/>
        <c:scaling>
          <c:orientation val="minMax"/>
        </c:scaling>
        <c:delete val="1"/>
        <c:axPos val="b"/>
        <c:majorGridlines/>
        <c:majorTickMark val="none"/>
        <c:minorTickMark val="none"/>
        <c:tickLblPos val="nextTo"/>
        <c:crossAx val="285251072"/>
        <c:crosses val="autoZero"/>
        <c:auto val="1"/>
        <c:lblAlgn val="ctr"/>
        <c:lblOffset val="100"/>
        <c:noMultiLvlLbl val="1"/>
      </c:catAx>
      <c:valAx>
        <c:axId val="285251072"/>
        <c:scaling>
          <c:orientation val="minMax"/>
          <c:max val="1"/>
        </c:scaling>
        <c:delete val="1"/>
        <c:axPos val="l"/>
        <c:majorGridlines/>
        <c:numFmt formatCode="0.000" sourceLinked="1"/>
        <c:majorTickMark val="none"/>
        <c:minorTickMark val="none"/>
        <c:tickLblPos val="nextTo"/>
        <c:crossAx val="285249536"/>
        <c:crosses val="autoZero"/>
        <c:crossBetween val="between"/>
        <c:majorUnit val="2"/>
      </c:valAx>
      <c:serAx>
        <c:axId val="173454656"/>
        <c:scaling>
          <c:orientation val="minMax"/>
        </c:scaling>
        <c:delete val="1"/>
        <c:axPos val="b"/>
        <c:majorGridlines/>
        <c:majorTickMark val="none"/>
        <c:minorTickMark val="none"/>
        <c:tickLblPos val="nextTo"/>
        <c:crossAx val="285251072"/>
        <c:crosses val="autoZero"/>
      </c:serAx>
    </c:plotArea>
    <c:plotVisOnly val="1"/>
    <c:dispBlanksAs val="gap"/>
    <c:showDLblsOverMax val="0"/>
  </c:chart>
  <c:printSettings>
    <c:headerFooter alignWithMargins="0"/>
    <c:pageMargins b="1" l="0.75000000000000056" r="0.75000000000000056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Scroll" dx="0" fmlaLink="$J$1" horiz="1" max="100" page="10" val="43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0</xdr:row>
      <xdr:rowOff>152400</xdr:rowOff>
    </xdr:from>
    <xdr:to>
      <xdr:col>11</xdr:col>
      <xdr:colOff>323850</xdr:colOff>
      <xdr:row>17</xdr:row>
      <xdr:rowOff>152400</xdr:rowOff>
    </xdr:to>
    <xdr:graphicFrame macro="">
      <xdr:nvGraphicFramePr>
        <xdr:cNvPr id="9217" name="Chart 1">
          <a:extLst>
            <a:ext uri="{FF2B5EF4-FFF2-40B4-BE49-F238E27FC236}">
              <a16:creationId xmlns:a16="http://schemas.microsoft.com/office/drawing/2014/main" id="{00000000-0008-0000-0000-0000012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476250</xdr:colOff>
          <xdr:row>1</xdr:row>
          <xdr:rowOff>0</xdr:rowOff>
        </xdr:from>
        <xdr:to>
          <xdr:col>14</xdr:col>
          <xdr:colOff>123825</xdr:colOff>
          <xdr:row>2</xdr:row>
          <xdr:rowOff>85725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161925</xdr:rowOff>
    </xdr:from>
    <xdr:to>
      <xdr:col>7</xdr:col>
      <xdr:colOff>363855</xdr:colOff>
      <xdr:row>11</xdr:row>
      <xdr:rowOff>169545</xdr:rowOff>
    </xdr:to>
    <xdr:graphicFrame macro="">
      <xdr:nvGraphicFramePr>
        <xdr:cNvPr id="1026" name="Chart 2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161925</xdr:colOff>
      <xdr:row>12</xdr:row>
      <xdr:rowOff>19050</xdr:rowOff>
    </xdr:from>
    <xdr:to>
      <xdr:col>7</xdr:col>
      <xdr:colOff>363855</xdr:colOff>
      <xdr:row>23</xdr:row>
      <xdr:rowOff>26670</xdr:rowOff>
    </xdr:to>
    <xdr:graphicFrame macro="">
      <xdr:nvGraphicFramePr>
        <xdr:cNvPr id="1031" name="Chart 7">
          <a:extLst>
            <a:ext uri="{FF2B5EF4-FFF2-40B4-BE49-F238E27FC236}">
              <a16:creationId xmlns:a16="http://schemas.microsoft.com/office/drawing/2014/main" id="{00000000-0008-0000-0100-00000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26</xdr:row>
          <xdr:rowOff>114300</xdr:rowOff>
        </xdr:from>
        <xdr:to>
          <xdr:col>2</xdr:col>
          <xdr:colOff>9525</xdr:colOff>
          <xdr:row>28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/ 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27</xdr:row>
          <xdr:rowOff>171450</xdr:rowOff>
        </xdr:from>
        <xdr:to>
          <xdr:col>3</xdr:col>
          <xdr:colOff>504825</xdr:colOff>
          <xdr:row>28</xdr:row>
          <xdr:rowOff>152400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152400</xdr:rowOff>
    </xdr:from>
    <xdr:to>
      <xdr:col>9</xdr:col>
      <xdr:colOff>371475</xdr:colOff>
      <xdr:row>21</xdr:row>
      <xdr:rowOff>28575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16</xdr:row>
          <xdr:rowOff>161925</xdr:rowOff>
        </xdr:from>
        <xdr:to>
          <xdr:col>13</xdr:col>
          <xdr:colOff>533400</xdr:colOff>
          <xdr:row>19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/ Stop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133350</xdr:rowOff>
    </xdr:from>
    <xdr:to>
      <xdr:col>14</xdr:col>
      <xdr:colOff>361949</xdr:colOff>
      <xdr:row>25</xdr:row>
      <xdr:rowOff>180975</xdr:rowOff>
    </xdr:to>
    <xdr:graphicFrame macro="">
      <xdr:nvGraphicFramePr>
        <xdr:cNvPr id="4097" name="Chart 1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27</xdr:row>
          <xdr:rowOff>66675</xdr:rowOff>
        </xdr:from>
        <xdr:to>
          <xdr:col>3</xdr:col>
          <xdr:colOff>219075</xdr:colOff>
          <xdr:row>29</xdr:row>
          <xdr:rowOff>57150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/ Stop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85725</xdr:rowOff>
    </xdr:from>
    <xdr:to>
      <xdr:col>10</xdr:col>
      <xdr:colOff>95250</xdr:colOff>
      <xdr:row>31</xdr:row>
      <xdr:rowOff>95250</xdr:rowOff>
    </xdr:to>
    <xdr:graphicFrame macro="">
      <xdr:nvGraphicFramePr>
        <xdr:cNvPr id="7170" name="Chart 2">
          <a:extLst>
            <a:ext uri="{FF2B5EF4-FFF2-40B4-BE49-F238E27FC236}">
              <a16:creationId xmlns:a16="http://schemas.microsoft.com/office/drawing/2014/main" id="{00000000-0008-0000-0400-000002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352425</xdr:colOff>
          <xdr:row>0</xdr:row>
          <xdr:rowOff>76200</xdr:rowOff>
        </xdr:from>
        <xdr:to>
          <xdr:col>12</xdr:col>
          <xdr:colOff>19050</xdr:colOff>
          <xdr:row>2</xdr:row>
          <xdr:rowOff>104775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352425</xdr:colOff>
          <xdr:row>3</xdr:row>
          <xdr:rowOff>9525</xdr:rowOff>
        </xdr:from>
        <xdr:to>
          <xdr:col>12</xdr:col>
          <xdr:colOff>19050</xdr:colOff>
          <xdr:row>5</xdr:row>
          <xdr:rowOff>38100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Elevation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352425</xdr:colOff>
          <xdr:row>5</xdr:row>
          <xdr:rowOff>104775</xdr:rowOff>
        </xdr:from>
        <xdr:to>
          <xdr:col>12</xdr:col>
          <xdr:colOff>19050</xdr:colOff>
          <xdr:row>7</xdr:row>
          <xdr:rowOff>133350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Perspective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B21"/>
  <sheetViews>
    <sheetView showGridLines="0" tabSelected="1" workbookViewId="0"/>
  </sheetViews>
  <sheetFormatPr defaultRowHeight="15" x14ac:dyDescent="0.25"/>
  <cols>
    <col min="1" max="2" width="5.28515625" customWidth="1"/>
  </cols>
  <sheetData>
    <row r="1" spans="1:2" x14ac:dyDescent="0.25">
      <c r="A1">
        <v>0</v>
      </c>
    </row>
    <row r="2" spans="1:2" ht="15" customHeight="1" x14ac:dyDescent="0.25"/>
    <row r="3" spans="1:2" x14ac:dyDescent="0.25">
      <c r="A3" s="12" t="s">
        <v>0</v>
      </c>
      <c r="B3" s="12" t="s">
        <v>1</v>
      </c>
    </row>
    <row r="4" spans="1:2" x14ac:dyDescent="0.25">
      <c r="A4" s="3">
        <v>0</v>
      </c>
      <c r="B4" s="3">
        <f t="shared" ref="B4:B21" si="0">SIN(A4)</f>
        <v>0</v>
      </c>
    </row>
    <row r="5" spans="1:2" x14ac:dyDescent="0.25">
      <c r="A5" s="3">
        <f t="shared" ref="A5:A21" si="1">A4+$A$1</f>
        <v>0</v>
      </c>
      <c r="B5" s="3">
        <f t="shared" si="0"/>
        <v>0</v>
      </c>
    </row>
    <row r="6" spans="1:2" x14ac:dyDescent="0.25">
      <c r="A6" s="3">
        <f t="shared" si="1"/>
        <v>0</v>
      </c>
      <c r="B6" s="3">
        <f t="shared" si="0"/>
        <v>0</v>
      </c>
    </row>
    <row r="7" spans="1:2" x14ac:dyDescent="0.25">
      <c r="A7" s="3">
        <f t="shared" si="1"/>
        <v>0</v>
      </c>
      <c r="B7" s="3">
        <f t="shared" si="0"/>
        <v>0</v>
      </c>
    </row>
    <row r="8" spans="1:2" x14ac:dyDescent="0.25">
      <c r="A8" s="3">
        <f t="shared" si="1"/>
        <v>0</v>
      </c>
      <c r="B8" s="3">
        <f t="shared" si="0"/>
        <v>0</v>
      </c>
    </row>
    <row r="9" spans="1:2" x14ac:dyDescent="0.25">
      <c r="A9" s="3">
        <f t="shared" si="1"/>
        <v>0</v>
      </c>
      <c r="B9" s="3">
        <f t="shared" si="0"/>
        <v>0</v>
      </c>
    </row>
    <row r="10" spans="1:2" x14ac:dyDescent="0.25">
      <c r="A10" s="3">
        <f t="shared" si="1"/>
        <v>0</v>
      </c>
      <c r="B10" s="3">
        <f t="shared" si="0"/>
        <v>0</v>
      </c>
    </row>
    <row r="11" spans="1:2" x14ac:dyDescent="0.25">
      <c r="A11" s="3">
        <f t="shared" si="1"/>
        <v>0</v>
      </c>
      <c r="B11" s="3">
        <f t="shared" si="0"/>
        <v>0</v>
      </c>
    </row>
    <row r="12" spans="1:2" x14ac:dyDescent="0.25">
      <c r="A12" s="3">
        <f t="shared" si="1"/>
        <v>0</v>
      </c>
      <c r="B12" s="3">
        <f t="shared" si="0"/>
        <v>0</v>
      </c>
    </row>
    <row r="13" spans="1:2" x14ac:dyDescent="0.25">
      <c r="A13" s="3">
        <f t="shared" si="1"/>
        <v>0</v>
      </c>
      <c r="B13" s="3">
        <f t="shared" si="0"/>
        <v>0</v>
      </c>
    </row>
    <row r="14" spans="1:2" x14ac:dyDescent="0.25">
      <c r="A14" s="3">
        <f t="shared" si="1"/>
        <v>0</v>
      </c>
      <c r="B14" s="3">
        <f t="shared" si="0"/>
        <v>0</v>
      </c>
    </row>
    <row r="15" spans="1:2" x14ac:dyDescent="0.25">
      <c r="A15" s="3">
        <f t="shared" si="1"/>
        <v>0</v>
      </c>
      <c r="B15" s="3">
        <f t="shared" si="0"/>
        <v>0</v>
      </c>
    </row>
    <row r="16" spans="1:2" x14ac:dyDescent="0.25">
      <c r="A16" s="3">
        <f t="shared" si="1"/>
        <v>0</v>
      </c>
      <c r="B16" s="3">
        <f t="shared" si="0"/>
        <v>0</v>
      </c>
    </row>
    <row r="17" spans="1:2" x14ac:dyDescent="0.25">
      <c r="A17" s="3">
        <f t="shared" si="1"/>
        <v>0</v>
      </c>
      <c r="B17" s="3">
        <f t="shared" si="0"/>
        <v>0</v>
      </c>
    </row>
    <row r="18" spans="1:2" x14ac:dyDescent="0.25">
      <c r="A18" s="3">
        <f t="shared" si="1"/>
        <v>0</v>
      </c>
      <c r="B18" s="3">
        <f t="shared" si="0"/>
        <v>0</v>
      </c>
    </row>
    <row r="19" spans="1:2" x14ac:dyDescent="0.25">
      <c r="A19" s="3">
        <f t="shared" si="1"/>
        <v>0</v>
      </c>
      <c r="B19" s="3">
        <f t="shared" si="0"/>
        <v>0</v>
      </c>
    </row>
    <row r="20" spans="1:2" x14ac:dyDescent="0.25">
      <c r="A20" s="3">
        <f t="shared" si="1"/>
        <v>0</v>
      </c>
      <c r="B20" s="3">
        <f t="shared" si="0"/>
        <v>0</v>
      </c>
    </row>
    <row r="21" spans="1:2" x14ac:dyDescent="0.25">
      <c r="A21" s="3">
        <f t="shared" si="1"/>
        <v>0</v>
      </c>
      <c r="B21" s="3">
        <f t="shared" si="0"/>
        <v>0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SimpleAnimation">
                <anchor moveWithCells="1" sizeWithCells="1">
                  <from>
                    <xdr:col>12</xdr:col>
                    <xdr:colOff>476250</xdr:colOff>
                    <xdr:row>1</xdr:row>
                    <xdr:rowOff>0</xdr:rowOff>
                  </from>
                  <to>
                    <xdr:col>14</xdr:col>
                    <xdr:colOff>123825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K40"/>
  <sheetViews>
    <sheetView showGridLines="0" workbookViewId="0"/>
  </sheetViews>
  <sheetFormatPr defaultRowHeight="15" x14ac:dyDescent="0.25"/>
  <cols>
    <col min="5" max="8" width="10.5703125" customWidth="1"/>
  </cols>
  <sheetData>
    <row r="1" spans="1:11" x14ac:dyDescent="0.25">
      <c r="A1" s="4"/>
      <c r="B1" s="4"/>
      <c r="C1" s="4"/>
      <c r="D1" s="4"/>
      <c r="E1" s="4"/>
      <c r="F1" s="4"/>
      <c r="G1" s="4"/>
      <c r="H1" s="4"/>
      <c r="I1" s="5">
        <v>343.25</v>
      </c>
      <c r="J1" s="5">
        <v>43</v>
      </c>
      <c r="K1" s="5"/>
    </row>
    <row r="2" spans="1:11" x14ac:dyDescent="0.25">
      <c r="A2" s="4"/>
      <c r="B2" s="4"/>
      <c r="C2" s="4"/>
      <c r="D2" s="4"/>
      <c r="E2" s="4"/>
      <c r="F2" s="4"/>
      <c r="G2" s="4"/>
      <c r="H2" s="4"/>
      <c r="I2" s="5"/>
      <c r="J2" s="5"/>
      <c r="K2" s="5"/>
    </row>
    <row r="3" spans="1:11" x14ac:dyDescent="0.25">
      <c r="A3" s="5"/>
      <c r="B3" s="5"/>
      <c r="C3" s="5"/>
      <c r="D3" s="5"/>
      <c r="E3" s="5"/>
      <c r="F3" s="5"/>
      <c r="G3" s="5"/>
      <c r="H3" s="5"/>
      <c r="I3" s="6">
        <f>Base</f>
        <v>343.25</v>
      </c>
      <c r="J3" s="6">
        <f>SIN(I3)-COS(I3)</f>
        <v>-4.3837267531113833E-2</v>
      </c>
      <c r="K3" s="14">
        <f ca="1">OFFSET($J$3,40-ROW(),0)</f>
        <v>-1.3899054876189552</v>
      </c>
    </row>
    <row r="4" spans="1:11" x14ac:dyDescent="0.25">
      <c r="A4" s="5"/>
      <c r="B4" s="5"/>
      <c r="C4" s="5"/>
      <c r="D4" s="5"/>
      <c r="E4" s="5"/>
      <c r="F4" s="5"/>
      <c r="G4" s="5"/>
      <c r="H4" s="5"/>
      <c r="I4" s="7">
        <f>+I3+$J$1</f>
        <v>386.25</v>
      </c>
      <c r="J4" s="6">
        <f t="shared" ref="J4:J40" si="0">SIN(I4)-COS(I4)</f>
        <v>1.1514072066184373</v>
      </c>
      <c r="K4" s="14">
        <f t="shared" ref="K4:K40" ca="1" si="1">OFFSET($J$3,40-ROW(),0)</f>
        <v>-0.98871472459594589</v>
      </c>
    </row>
    <row r="5" spans="1:11" x14ac:dyDescent="0.25">
      <c r="A5" s="5"/>
      <c r="B5" s="5"/>
      <c r="C5" s="5"/>
      <c r="D5" s="5"/>
      <c r="E5" s="5"/>
      <c r="F5" s="5"/>
      <c r="G5" s="5"/>
      <c r="H5" s="5"/>
      <c r="I5" s="7">
        <f t="shared" ref="I5:I40" si="2">+I4+$J$1</f>
        <v>429.25</v>
      </c>
      <c r="J5" s="6">
        <f t="shared" si="0"/>
        <v>1.3221601792523177</v>
      </c>
      <c r="K5" s="14">
        <f t="shared" ca="1" si="1"/>
        <v>0.29220809755393173</v>
      </c>
    </row>
    <row r="6" spans="1:11" x14ac:dyDescent="0.25">
      <c r="A6" s="5"/>
      <c r="B6" s="5"/>
      <c r="C6" s="5"/>
      <c r="D6" s="5"/>
      <c r="E6" s="5"/>
      <c r="F6" s="5"/>
      <c r="G6" s="5"/>
      <c r="H6" s="5"/>
      <c r="I6" s="7">
        <f t="shared" si="2"/>
        <v>472.25</v>
      </c>
      <c r="J6" s="6">
        <f t="shared" si="0"/>
        <v>0.31649019786927524</v>
      </c>
      <c r="K6" s="14">
        <f t="shared" ca="1" si="1"/>
        <v>1.3131319281243941</v>
      </c>
    </row>
    <row r="7" spans="1:11" x14ac:dyDescent="0.25">
      <c r="A7" s="5"/>
      <c r="B7" s="5"/>
      <c r="C7" s="5"/>
      <c r="D7" s="5"/>
      <c r="E7" s="5"/>
      <c r="F7" s="5"/>
      <c r="G7" s="5"/>
      <c r="H7" s="5"/>
      <c r="I7" s="7">
        <f t="shared" si="2"/>
        <v>515.25</v>
      </c>
      <c r="J7" s="6">
        <f t="shared" si="0"/>
        <v>-0.97078434197605867</v>
      </c>
      <c r="K7" s="14">
        <f t="shared" ca="1" si="1"/>
        <v>1.165665902352623</v>
      </c>
    </row>
    <row r="8" spans="1:11" x14ac:dyDescent="0.25">
      <c r="A8" s="5"/>
      <c r="B8" s="5"/>
      <c r="C8" s="5"/>
      <c r="D8" s="5"/>
      <c r="E8" s="5"/>
      <c r="F8" s="5"/>
      <c r="G8" s="5"/>
      <c r="H8" s="5"/>
      <c r="I8" s="7">
        <f t="shared" si="2"/>
        <v>558.25</v>
      </c>
      <c r="J8" s="6">
        <f t="shared" si="0"/>
        <v>-1.3942808001469913</v>
      </c>
      <c r="K8" s="14">
        <f t="shared" ca="1" si="1"/>
        <v>-1.8978633074426488E-2</v>
      </c>
    </row>
    <row r="9" spans="1:11" x14ac:dyDescent="0.25">
      <c r="A9" s="5"/>
      <c r="B9" s="5"/>
      <c r="C9" s="5"/>
      <c r="D9" s="5"/>
      <c r="E9" s="5"/>
      <c r="F9" s="5"/>
      <c r="G9" s="5"/>
      <c r="H9" s="5"/>
      <c r="I9" s="7">
        <f t="shared" si="2"/>
        <v>601.25</v>
      </c>
      <c r="J9" s="6">
        <f t="shared" si="0"/>
        <v>-0.57718329445677341</v>
      </c>
      <c r="K9" s="14">
        <f t="shared" ca="1" si="1"/>
        <v>-1.1867364856812099</v>
      </c>
    </row>
    <row r="10" spans="1:11" x14ac:dyDescent="0.25">
      <c r="A10" s="5"/>
      <c r="B10" s="5"/>
      <c r="C10" s="5"/>
      <c r="D10" s="5"/>
      <c r="E10" s="5"/>
      <c r="F10" s="5"/>
      <c r="G10" s="5"/>
      <c r="H10" s="5"/>
      <c r="I10" s="7">
        <f t="shared" si="2"/>
        <v>644.25</v>
      </c>
      <c r="J10" s="6">
        <f t="shared" si="0"/>
        <v>0.75347655181008943</v>
      </c>
      <c r="K10" s="14">
        <f t="shared" ca="1" si="1"/>
        <v>-1.2985677841285357</v>
      </c>
    </row>
    <row r="11" spans="1:11" x14ac:dyDescent="0.25">
      <c r="A11" s="5"/>
      <c r="B11" s="5"/>
      <c r="C11" s="5"/>
      <c r="D11" s="5"/>
      <c r="E11" s="5"/>
      <c r="F11" s="5"/>
      <c r="G11" s="5"/>
      <c r="H11" s="5"/>
      <c r="I11" s="7">
        <f t="shared" si="2"/>
        <v>687.25</v>
      </c>
      <c r="J11" s="6">
        <f t="shared" si="0"/>
        <v>1.4137130070441244</v>
      </c>
      <c r="K11" s="14">
        <f t="shared" ca="1" si="1"/>
        <v>-0.25496801411061942</v>
      </c>
    </row>
    <row r="12" spans="1:11" x14ac:dyDescent="0.25">
      <c r="A12" s="5"/>
      <c r="B12" s="5"/>
      <c r="C12" s="5"/>
      <c r="D12" s="5"/>
      <c r="E12" s="5"/>
      <c r="F12" s="5"/>
      <c r="G12" s="5"/>
      <c r="H12" s="5"/>
      <c r="I12" s="7">
        <f t="shared" si="2"/>
        <v>730.25</v>
      </c>
      <c r="J12" s="6">
        <f t="shared" si="0"/>
        <v>0.81606523767574146</v>
      </c>
      <c r="K12" s="14">
        <f t="shared" ca="1" si="1"/>
        <v>1.0154955119383291</v>
      </c>
    </row>
    <row r="13" spans="1:11" x14ac:dyDescent="0.25">
      <c r="A13" s="5"/>
      <c r="B13" s="5"/>
      <c r="C13" s="5"/>
      <c r="D13" s="5"/>
      <c r="E13" s="5"/>
      <c r="F13" s="5"/>
      <c r="G13" s="5"/>
      <c r="H13" s="5"/>
      <c r="I13" s="7">
        <f t="shared" si="2"/>
        <v>773.25</v>
      </c>
      <c r="J13" s="6">
        <f t="shared" si="0"/>
        <v>-0.50769567035933449</v>
      </c>
      <c r="K13" s="14">
        <f t="shared" ca="1" si="1"/>
        <v>1.3823981467335469</v>
      </c>
    </row>
    <row r="14" spans="1:11" x14ac:dyDescent="0.25">
      <c r="A14" s="5"/>
      <c r="B14" s="5"/>
      <c r="C14" s="5"/>
      <c r="D14" s="5"/>
      <c r="E14" s="5"/>
      <c r="F14" s="5"/>
      <c r="G14" s="5"/>
      <c r="H14" s="5"/>
      <c r="I14" s="7">
        <f t="shared" si="2"/>
        <v>816.25</v>
      </c>
      <c r="J14" s="6">
        <f t="shared" si="0"/>
        <v>-1.3797224771575363</v>
      </c>
      <c r="K14" s="14">
        <f t="shared" ca="1" si="1"/>
        <v>0.51927968656017809</v>
      </c>
    </row>
    <row r="15" spans="1:11" x14ac:dyDescent="0.25">
      <c r="A15" s="5"/>
      <c r="B15" s="5"/>
      <c r="C15" s="5"/>
      <c r="D15" s="5"/>
      <c r="E15" s="5"/>
      <c r="F15" s="5"/>
      <c r="G15" s="5"/>
      <c r="H15" s="5"/>
      <c r="I15" s="7">
        <f t="shared" si="2"/>
        <v>859.25</v>
      </c>
      <c r="J15" s="6">
        <f t="shared" si="0"/>
        <v>-1.0241089285949376</v>
      </c>
      <c r="K15" s="14">
        <f t="shared" ca="1" si="1"/>
        <v>-0.80588002429551464</v>
      </c>
    </row>
    <row r="16" spans="1:11" x14ac:dyDescent="0.25">
      <c r="A16" s="5"/>
      <c r="B16" s="5"/>
      <c r="C16" s="5"/>
      <c r="D16" s="5"/>
      <c r="E16" s="5"/>
      <c r="F16" s="5"/>
      <c r="G16" s="5"/>
      <c r="H16" s="5"/>
      <c r="I16" s="7">
        <f t="shared" si="2"/>
        <v>902.25</v>
      </c>
      <c r="J16" s="6">
        <f t="shared" si="0"/>
        <v>0.24272950021936335</v>
      </c>
      <c r="K16" s="14">
        <f t="shared" ca="1" si="1"/>
        <v>-1.4139891283925885</v>
      </c>
    </row>
    <row r="17" spans="1:11" x14ac:dyDescent="0.25">
      <c r="A17" s="5"/>
      <c r="B17" s="5"/>
      <c r="C17" s="5"/>
      <c r="D17" s="5"/>
      <c r="E17" s="5"/>
      <c r="F17" s="5"/>
      <c r="G17" s="5"/>
      <c r="H17" s="5"/>
      <c r="I17" s="7">
        <f t="shared" si="2"/>
        <v>945.25</v>
      </c>
      <c r="J17" s="6">
        <f t="shared" si="0"/>
        <v>1.2935936770813821</v>
      </c>
      <c r="K17" s="14">
        <f t="shared" ca="1" si="1"/>
        <v>-0.7639683224570486</v>
      </c>
    </row>
    <row r="18" spans="1:11" x14ac:dyDescent="0.25">
      <c r="A18" s="5"/>
      <c r="B18" s="5"/>
      <c r="C18" s="5"/>
      <c r="D18" s="5"/>
      <c r="E18" s="5"/>
      <c r="F18" s="5"/>
      <c r="G18" s="5"/>
      <c r="H18" s="5"/>
      <c r="I18" s="7">
        <f t="shared" si="2"/>
        <v>988.25</v>
      </c>
      <c r="J18" s="6">
        <f t="shared" si="0"/>
        <v>1.1934526136023409</v>
      </c>
      <c r="K18" s="14">
        <f t="shared" ca="1" si="1"/>
        <v>0.56581117291997596</v>
      </c>
    </row>
    <row r="19" spans="1:11" x14ac:dyDescent="0.25">
      <c r="A19" s="5"/>
      <c r="B19" s="5"/>
      <c r="C19" s="5"/>
      <c r="D19" s="5"/>
      <c r="E19" s="5"/>
      <c r="F19" s="5"/>
      <c r="G19" s="5"/>
      <c r="H19" s="5"/>
      <c r="I19" s="7">
        <f t="shared" si="2"/>
        <v>1031.25</v>
      </c>
      <c r="J19" s="6">
        <f t="shared" si="0"/>
        <v>3.1409164009047918E-2</v>
      </c>
      <c r="K19" s="14">
        <f t="shared" ca="1" si="1"/>
        <v>1.3921469389307797</v>
      </c>
    </row>
    <row r="20" spans="1:11" x14ac:dyDescent="0.25">
      <c r="A20" s="5"/>
      <c r="B20" s="5"/>
      <c r="C20" s="5"/>
      <c r="D20" s="5"/>
      <c r="E20" s="5"/>
      <c r="F20" s="5"/>
      <c r="G20" s="5"/>
      <c r="H20" s="5"/>
      <c r="I20" s="7">
        <f t="shared" si="2"/>
        <v>1074.25</v>
      </c>
      <c r="J20" s="6">
        <f t="shared" si="0"/>
        <v>-1.1585813241402101</v>
      </c>
      <c r="K20" s="14">
        <f t="shared" ca="1" si="1"/>
        <v>0.97978739402341986</v>
      </c>
    </row>
    <row r="21" spans="1:11" x14ac:dyDescent="0.25">
      <c r="A21" s="5"/>
      <c r="B21" s="5"/>
      <c r="C21" s="5"/>
      <c r="D21" s="5"/>
      <c r="E21" s="5"/>
      <c r="F21" s="5"/>
      <c r="G21" s="5"/>
      <c r="H21" s="5"/>
      <c r="I21" s="7">
        <f t="shared" si="2"/>
        <v>1117.25</v>
      </c>
      <c r="J21" s="6">
        <f t="shared" si="0"/>
        <v>-1.3176969718562683</v>
      </c>
      <c r="K21" s="14">
        <f t="shared" ca="1" si="1"/>
        <v>-0.30436090876151811</v>
      </c>
    </row>
    <row r="22" spans="1:11" x14ac:dyDescent="0.25">
      <c r="A22" s="5"/>
      <c r="B22" s="5"/>
      <c r="C22" s="5"/>
      <c r="D22" s="5"/>
      <c r="E22" s="5"/>
      <c r="F22" s="5"/>
      <c r="G22" s="5"/>
      <c r="H22" s="5"/>
      <c r="I22" s="7">
        <f t="shared" si="2"/>
        <v>1160.25</v>
      </c>
      <c r="J22" s="6">
        <f t="shared" si="0"/>
        <v>-0.30436090876151811</v>
      </c>
      <c r="K22" s="14">
        <f t="shared" ca="1" si="1"/>
        <v>-1.3176969718562683</v>
      </c>
    </row>
    <row r="23" spans="1:11" x14ac:dyDescent="0.25">
      <c r="A23" s="5"/>
      <c r="B23" s="5"/>
      <c r="C23" s="5"/>
      <c r="D23" s="5"/>
      <c r="E23" s="5"/>
      <c r="F23" s="5"/>
      <c r="G23" s="5"/>
      <c r="H23" s="5"/>
      <c r="I23" s="7">
        <f t="shared" si="2"/>
        <v>1203.25</v>
      </c>
      <c r="J23" s="6">
        <f t="shared" si="0"/>
        <v>0.97978739402341986</v>
      </c>
      <c r="K23" s="14">
        <f t="shared" ca="1" si="1"/>
        <v>-1.1585813241402101</v>
      </c>
    </row>
    <row r="24" spans="1:11" x14ac:dyDescent="0.25">
      <c r="A24" s="5"/>
      <c r="B24" s="5"/>
      <c r="C24" s="5"/>
      <c r="D24" s="5"/>
      <c r="E24" s="5"/>
      <c r="F24" s="5"/>
      <c r="G24" s="5"/>
      <c r="H24" s="5"/>
      <c r="I24" s="7">
        <f t="shared" si="2"/>
        <v>1246.25</v>
      </c>
      <c r="J24" s="6">
        <f t="shared" si="0"/>
        <v>1.3921469389307797</v>
      </c>
      <c r="K24" s="14">
        <f t="shared" ca="1" si="1"/>
        <v>3.1409164009047918E-2</v>
      </c>
    </row>
    <row r="25" spans="1:11" x14ac:dyDescent="0.25">
      <c r="A25" s="5"/>
      <c r="B25" s="5"/>
      <c r="C25" s="5"/>
      <c r="D25" s="5"/>
      <c r="E25" s="5"/>
      <c r="F25" s="5"/>
      <c r="G25" s="5"/>
      <c r="H25" s="5"/>
      <c r="I25" s="7">
        <f t="shared" si="2"/>
        <v>1289.25</v>
      </c>
      <c r="J25" s="6">
        <f t="shared" si="0"/>
        <v>0.56581117291997596</v>
      </c>
      <c r="K25" s="14">
        <f t="shared" ca="1" si="1"/>
        <v>1.1934526136023409</v>
      </c>
    </row>
    <row r="26" spans="1:11" x14ac:dyDescent="0.25">
      <c r="A26" s="5"/>
      <c r="B26" s="5"/>
      <c r="C26" s="5"/>
      <c r="D26" s="5"/>
      <c r="E26" s="5"/>
      <c r="F26" s="5"/>
      <c r="G26" s="5"/>
      <c r="H26" s="5"/>
      <c r="I26" s="7">
        <f t="shared" si="2"/>
        <v>1332.25</v>
      </c>
      <c r="J26" s="6">
        <f t="shared" si="0"/>
        <v>-0.7639683224570486</v>
      </c>
      <c r="K26" s="14">
        <f t="shared" ca="1" si="1"/>
        <v>1.2935936770813821</v>
      </c>
    </row>
    <row r="27" spans="1:11" x14ac:dyDescent="0.25">
      <c r="A27" s="5"/>
      <c r="B27" s="5"/>
      <c r="C27" s="5"/>
      <c r="D27" s="5"/>
      <c r="E27" s="5"/>
      <c r="F27" s="5"/>
      <c r="G27" s="5"/>
      <c r="H27" s="5"/>
      <c r="I27" s="7">
        <f t="shared" si="2"/>
        <v>1375.25</v>
      </c>
      <c r="J27" s="6">
        <f t="shared" si="0"/>
        <v>-1.4139891283925885</v>
      </c>
      <c r="K27" s="14">
        <f t="shared" ca="1" si="1"/>
        <v>0.24272950021936335</v>
      </c>
    </row>
    <row r="28" spans="1:11" x14ac:dyDescent="0.25">
      <c r="A28" s="5"/>
      <c r="B28" s="5"/>
      <c r="C28" s="5"/>
      <c r="D28" s="5"/>
      <c r="E28" s="5"/>
      <c r="F28" s="5"/>
      <c r="G28" s="5"/>
      <c r="H28" s="5"/>
      <c r="I28" s="7">
        <f t="shared" si="2"/>
        <v>1418.25</v>
      </c>
      <c r="J28" s="6">
        <f t="shared" si="0"/>
        <v>-0.80588002429551464</v>
      </c>
      <c r="K28" s="14">
        <f t="shared" ca="1" si="1"/>
        <v>-1.0241089285949376</v>
      </c>
    </row>
    <row r="29" spans="1:11" x14ac:dyDescent="0.25">
      <c r="A29" s="5"/>
      <c r="B29" s="5"/>
      <c r="C29" s="5"/>
      <c r="D29" s="5"/>
      <c r="E29" s="5"/>
      <c r="F29" s="5"/>
      <c r="G29" s="5"/>
      <c r="H29" s="5"/>
      <c r="I29" s="7">
        <f t="shared" si="2"/>
        <v>1461.25</v>
      </c>
      <c r="J29" s="6">
        <f t="shared" si="0"/>
        <v>0.51927968656017809</v>
      </c>
      <c r="K29" s="14">
        <f t="shared" ca="1" si="1"/>
        <v>-1.3797224771575363</v>
      </c>
    </row>
    <row r="30" spans="1:11" x14ac:dyDescent="0.25">
      <c r="A30" s="5"/>
      <c r="B30" s="5"/>
      <c r="C30" s="5"/>
      <c r="D30" s="5"/>
      <c r="E30" s="5"/>
      <c r="F30" s="5"/>
      <c r="G30" s="5"/>
      <c r="H30" s="5"/>
      <c r="I30" s="7">
        <f t="shared" si="2"/>
        <v>1504.25</v>
      </c>
      <c r="J30" s="6">
        <f t="shared" si="0"/>
        <v>1.3823981467335469</v>
      </c>
      <c r="K30" s="14">
        <f t="shared" ca="1" si="1"/>
        <v>-0.50769567035933449</v>
      </c>
    </row>
    <row r="31" spans="1:11" x14ac:dyDescent="0.25">
      <c r="A31" s="5"/>
      <c r="B31" s="5"/>
      <c r="C31" s="5"/>
      <c r="D31" s="5"/>
      <c r="E31" s="5"/>
      <c r="F31" s="5"/>
      <c r="G31" s="5"/>
      <c r="H31" s="5"/>
      <c r="I31" s="7">
        <f t="shared" si="2"/>
        <v>1547.25</v>
      </c>
      <c r="J31" s="6">
        <f t="shared" si="0"/>
        <v>1.0154955119383291</v>
      </c>
      <c r="K31" s="14">
        <f t="shared" ca="1" si="1"/>
        <v>0.81606523767574146</v>
      </c>
    </row>
    <row r="32" spans="1:11" x14ac:dyDescent="0.25">
      <c r="A32" s="5"/>
      <c r="B32" s="5"/>
      <c r="C32" s="5"/>
      <c r="D32" s="5"/>
      <c r="E32" s="5"/>
      <c r="F32" s="5"/>
      <c r="G32" s="5"/>
      <c r="H32" s="5"/>
      <c r="I32" s="7">
        <f t="shared" si="2"/>
        <v>1590.25</v>
      </c>
      <c r="J32" s="6">
        <f t="shared" si="0"/>
        <v>-0.25496801411061942</v>
      </c>
      <c r="K32" s="14">
        <f t="shared" ca="1" si="1"/>
        <v>1.4137130070441244</v>
      </c>
    </row>
    <row r="33" spans="1:11" x14ac:dyDescent="0.25">
      <c r="A33" s="5"/>
      <c r="B33" s="5"/>
      <c r="C33" s="5"/>
      <c r="D33" s="5"/>
      <c r="E33" s="5"/>
      <c r="F33" s="5"/>
      <c r="G33" s="5"/>
      <c r="H33" s="5"/>
      <c r="I33" s="7">
        <f t="shared" si="2"/>
        <v>1633.25</v>
      </c>
      <c r="J33" s="6">
        <f t="shared" si="0"/>
        <v>-1.2985677841285357</v>
      </c>
      <c r="K33" s="14">
        <f t="shared" ca="1" si="1"/>
        <v>0.75347655181008943</v>
      </c>
    </row>
    <row r="34" spans="1:11" x14ac:dyDescent="0.25">
      <c r="A34" s="5"/>
      <c r="B34" s="5"/>
      <c r="C34" s="5"/>
      <c r="D34" s="5"/>
      <c r="E34" s="5"/>
      <c r="F34" s="5"/>
      <c r="G34" s="5"/>
      <c r="H34" s="5"/>
      <c r="I34" s="7">
        <f t="shared" si="2"/>
        <v>1676.25</v>
      </c>
      <c r="J34" s="6">
        <f t="shared" si="0"/>
        <v>-1.1867364856812099</v>
      </c>
      <c r="K34" s="14">
        <f t="shared" ca="1" si="1"/>
        <v>-0.57718329445677341</v>
      </c>
    </row>
    <row r="35" spans="1:11" x14ac:dyDescent="0.25">
      <c r="A35" s="5"/>
      <c r="B35" s="5"/>
      <c r="C35" s="5"/>
      <c r="D35" s="5"/>
      <c r="E35" s="5"/>
      <c r="F35" s="5"/>
      <c r="G35" s="5"/>
      <c r="H35" s="5"/>
      <c r="I35" s="7">
        <f t="shared" si="2"/>
        <v>1719.25</v>
      </c>
      <c r="J35" s="6">
        <f t="shared" si="0"/>
        <v>-1.8978633074426488E-2</v>
      </c>
      <c r="K35" s="14">
        <f t="shared" ca="1" si="1"/>
        <v>-1.3942808001469913</v>
      </c>
    </row>
    <row r="36" spans="1:11" x14ac:dyDescent="0.25">
      <c r="A36" s="5"/>
      <c r="B36" s="5"/>
      <c r="C36" s="5"/>
      <c r="D36" s="5"/>
      <c r="E36" s="5"/>
      <c r="F36" s="5"/>
      <c r="G36" s="5"/>
      <c r="H36" s="5"/>
      <c r="I36" s="7">
        <f t="shared" si="2"/>
        <v>1762.25</v>
      </c>
      <c r="J36" s="6">
        <f t="shared" si="0"/>
        <v>1.165665902352623</v>
      </c>
      <c r="K36" s="14">
        <f t="shared" ca="1" si="1"/>
        <v>-0.97078434197605867</v>
      </c>
    </row>
    <row r="37" spans="1:11" x14ac:dyDescent="0.25">
      <c r="A37" s="5"/>
      <c r="B37" s="5"/>
      <c r="C37" s="5"/>
      <c r="D37" s="5"/>
      <c r="E37" s="5"/>
      <c r="F37" s="5"/>
      <c r="G37" s="5"/>
      <c r="H37" s="5"/>
      <c r="I37" s="7">
        <f t="shared" si="2"/>
        <v>1805.25</v>
      </c>
      <c r="J37" s="6">
        <f t="shared" si="0"/>
        <v>1.3131319281243941</v>
      </c>
      <c r="K37" s="14">
        <f t="shared" ca="1" si="1"/>
        <v>0.31649019786927524</v>
      </c>
    </row>
    <row r="38" spans="1:11" x14ac:dyDescent="0.25">
      <c r="A38" s="5"/>
      <c r="B38" s="5"/>
      <c r="C38" s="5"/>
      <c r="D38" s="5"/>
      <c r="E38" s="5"/>
      <c r="F38" s="5"/>
      <c r="G38" s="5"/>
      <c r="H38" s="5"/>
      <c r="I38" s="7">
        <f t="shared" si="2"/>
        <v>1848.25</v>
      </c>
      <c r="J38" s="6">
        <f t="shared" si="0"/>
        <v>0.29220809755393173</v>
      </c>
      <c r="K38" s="14">
        <f t="shared" ca="1" si="1"/>
        <v>1.3221601792523177</v>
      </c>
    </row>
    <row r="39" spans="1:11" x14ac:dyDescent="0.25">
      <c r="A39" s="5"/>
      <c r="B39" s="5"/>
      <c r="C39" s="5"/>
      <c r="D39" s="5"/>
      <c r="E39" s="5"/>
      <c r="F39" s="5"/>
      <c r="G39" s="5"/>
      <c r="H39" s="5"/>
      <c r="I39" s="7">
        <f t="shared" si="2"/>
        <v>1891.25</v>
      </c>
      <c r="J39" s="6">
        <f t="shared" si="0"/>
        <v>-0.98871472459594589</v>
      </c>
      <c r="K39" s="14">
        <f t="shared" ca="1" si="1"/>
        <v>1.1514072066184373</v>
      </c>
    </row>
    <row r="40" spans="1:11" x14ac:dyDescent="0.25">
      <c r="A40" s="5"/>
      <c r="B40" s="5"/>
      <c r="C40" s="5"/>
      <c r="D40" s="5"/>
      <c r="E40" s="5"/>
      <c r="F40" s="5"/>
      <c r="G40" s="5"/>
      <c r="H40" s="5"/>
      <c r="I40" s="7">
        <f t="shared" si="2"/>
        <v>1934.25</v>
      </c>
      <c r="J40" s="6">
        <f t="shared" si="0"/>
        <v>-1.3899054876189552</v>
      </c>
      <c r="K40" s="14">
        <f t="shared" ca="1" si="1"/>
        <v>-4.3837267531113833E-2</v>
      </c>
    </row>
  </sheetData>
  <phoneticPr fontId="2" type="noConversion"/>
  <printOptions gridLinesSet="0"/>
  <pageMargins left="0.75" right="0.75" top="1" bottom="1" header="0.5" footer="0.5"/>
  <pageSetup orientation="portrait" verticalDpi="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Line="0" autoPict="0" macro="[0]!RunExample1">
                <anchor moveWithCells="1" sizeWithCells="1">
                  <from>
                    <xdr:col>0</xdr:col>
                    <xdr:colOff>133350</xdr:colOff>
                    <xdr:row>26</xdr:row>
                    <xdr:rowOff>114300</xdr:rowOff>
                  </from>
                  <to>
                    <xdr:col>2</xdr:col>
                    <xdr:colOff>9525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Scroll Bar 8">
              <controlPr defaultSize="0" autoPict="0">
                <anchor moveWithCells="1">
                  <from>
                    <xdr:col>2</xdr:col>
                    <xdr:colOff>180975</xdr:colOff>
                    <xdr:row>27</xdr:row>
                    <xdr:rowOff>171450</xdr:rowOff>
                  </from>
                  <to>
                    <xdr:col>3</xdr:col>
                    <xdr:colOff>504825</xdr:colOff>
                    <xdr:row>28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K1:M12"/>
  <sheetViews>
    <sheetView showGridLines="0" workbookViewId="0"/>
  </sheetViews>
  <sheetFormatPr defaultRowHeight="15" x14ac:dyDescent="0.25"/>
  <cols>
    <col min="1" max="1" width="5.28515625" customWidth="1"/>
    <col min="2" max="3" width="6.7109375" customWidth="1"/>
    <col min="11" max="13" width="6.28515625" customWidth="1"/>
  </cols>
  <sheetData>
    <row r="1" spans="11:13" x14ac:dyDescent="0.25">
      <c r="K1" s="1">
        <v>-0.55000000000000004</v>
      </c>
    </row>
    <row r="3" spans="11:13" x14ac:dyDescent="0.25">
      <c r="K3" s="8">
        <v>-5</v>
      </c>
      <c r="L3" s="9">
        <f t="shared" ref="L3:L12" si="0">SIN(K3)*$K$1</f>
        <v>-0.52740835106472617</v>
      </c>
      <c r="M3" s="8">
        <f t="shared" ref="M3:M12" si="1">SIN(K3)*-$K$1</f>
        <v>0.52740835106472617</v>
      </c>
    </row>
    <row r="4" spans="11:13" x14ac:dyDescent="0.25">
      <c r="K4" s="8">
        <f t="shared" ref="K4:K12" si="2">K3+1</f>
        <v>-4</v>
      </c>
      <c r="L4" s="9">
        <f t="shared" si="0"/>
        <v>-0.41624137241936054</v>
      </c>
      <c r="M4" s="8">
        <f t="shared" si="1"/>
        <v>0.41624137241936054</v>
      </c>
    </row>
    <row r="5" spans="11:13" x14ac:dyDescent="0.25">
      <c r="K5" s="8">
        <f t="shared" si="2"/>
        <v>-3</v>
      </c>
      <c r="L5" s="9">
        <f t="shared" si="0"/>
        <v>7.7616004432926974E-2</v>
      </c>
      <c r="M5" s="8">
        <f t="shared" si="1"/>
        <v>-7.7616004432926974E-2</v>
      </c>
    </row>
    <row r="6" spans="11:13" x14ac:dyDescent="0.25">
      <c r="K6" s="8">
        <f t="shared" si="2"/>
        <v>-2</v>
      </c>
      <c r="L6" s="9">
        <f t="shared" si="0"/>
        <v>0.50011358475412493</v>
      </c>
      <c r="M6" s="8">
        <f t="shared" si="1"/>
        <v>-0.50011358475412493</v>
      </c>
    </row>
    <row r="7" spans="11:13" x14ac:dyDescent="0.25">
      <c r="K7" s="8">
        <f t="shared" si="2"/>
        <v>-1</v>
      </c>
      <c r="L7" s="9">
        <f t="shared" si="0"/>
        <v>0.46280904164434311</v>
      </c>
      <c r="M7" s="8">
        <f t="shared" si="1"/>
        <v>-0.46280904164434311</v>
      </c>
    </row>
    <row r="8" spans="11:13" x14ac:dyDescent="0.25">
      <c r="K8" s="8">
        <f t="shared" si="2"/>
        <v>0</v>
      </c>
      <c r="L8" s="9">
        <f t="shared" si="0"/>
        <v>0</v>
      </c>
      <c r="M8" s="8">
        <f t="shared" si="1"/>
        <v>0</v>
      </c>
    </row>
    <row r="9" spans="11:13" x14ac:dyDescent="0.25">
      <c r="K9" s="8">
        <f t="shared" si="2"/>
        <v>1</v>
      </c>
      <c r="L9" s="9">
        <f t="shared" si="0"/>
        <v>-0.46280904164434311</v>
      </c>
      <c r="M9" s="8">
        <f t="shared" si="1"/>
        <v>0.46280904164434311</v>
      </c>
    </row>
    <row r="10" spans="11:13" x14ac:dyDescent="0.25">
      <c r="K10" s="8">
        <f t="shared" si="2"/>
        <v>2</v>
      </c>
      <c r="L10" s="9">
        <f t="shared" si="0"/>
        <v>-0.50011358475412493</v>
      </c>
      <c r="M10" s="8">
        <f t="shared" si="1"/>
        <v>0.50011358475412493</v>
      </c>
    </row>
    <row r="11" spans="11:13" x14ac:dyDescent="0.25">
      <c r="K11" s="8">
        <f t="shared" si="2"/>
        <v>3</v>
      </c>
      <c r="L11" s="9">
        <f t="shared" si="0"/>
        <v>-7.7616004432926974E-2</v>
      </c>
      <c r="M11" s="8">
        <f t="shared" si="1"/>
        <v>7.7616004432926974E-2</v>
      </c>
    </row>
    <row r="12" spans="11:13" x14ac:dyDescent="0.25">
      <c r="K12" s="8">
        <f t="shared" si="2"/>
        <v>4</v>
      </c>
      <c r="L12" s="9">
        <f t="shared" si="0"/>
        <v>0.41624137241936054</v>
      </c>
      <c r="M12" s="8">
        <f t="shared" si="1"/>
        <v>-0.41624137241936054</v>
      </c>
    </row>
  </sheetData>
  <phoneticPr fontId="2" type="noConversion"/>
  <printOptions gridLinesSet="0"/>
  <pageMargins left="0.75" right="0.75" top="1" bottom="1" header="0.5" footer="0.5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Line="0" autoPict="0" macro="[0]!RunExample2">
                <anchor moveWithCells="1" sizeWithCells="1">
                  <from>
                    <xdr:col>11</xdr:col>
                    <xdr:colOff>219075</xdr:colOff>
                    <xdr:row>16</xdr:row>
                    <xdr:rowOff>161925</xdr:rowOff>
                  </from>
                  <to>
                    <xdr:col>13</xdr:col>
                    <xdr:colOff>533400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P1:Q21"/>
  <sheetViews>
    <sheetView showGridLines="0" workbookViewId="0"/>
  </sheetViews>
  <sheetFormatPr defaultRowHeight="15" x14ac:dyDescent="0.25"/>
  <cols>
    <col min="1" max="2" width="5.28515625" customWidth="1"/>
  </cols>
  <sheetData>
    <row r="1" spans="16:17" x14ac:dyDescent="0.25">
      <c r="P1">
        <v>209.40624260426523</v>
      </c>
    </row>
    <row r="2" spans="16:17" ht="35.25" customHeight="1" x14ac:dyDescent="0.25"/>
    <row r="3" spans="16:17" x14ac:dyDescent="0.25">
      <c r="P3" s="13" t="s">
        <v>0</v>
      </c>
      <c r="Q3" s="13" t="s">
        <v>1</v>
      </c>
    </row>
    <row r="4" spans="16:17" x14ac:dyDescent="0.25">
      <c r="P4" s="2">
        <v>0</v>
      </c>
      <c r="Q4" s="2">
        <f t="shared" ref="Q4:Q21" si="0">SIN(P4)</f>
        <v>0</v>
      </c>
    </row>
    <row r="5" spans="16:17" x14ac:dyDescent="0.25">
      <c r="P5" s="2">
        <f t="shared" ref="P5:P21" si="1">P4+$P$1</f>
        <v>209.40624260426523</v>
      </c>
      <c r="Q5" s="2">
        <f t="shared" si="0"/>
        <v>0.88217696692465986</v>
      </c>
    </row>
    <row r="6" spans="16:17" x14ac:dyDescent="0.25">
      <c r="P6" s="2">
        <f t="shared" si="1"/>
        <v>418.81248520853046</v>
      </c>
      <c r="Q6" s="2">
        <f t="shared" si="0"/>
        <v>-0.83086609382848309</v>
      </c>
    </row>
    <row r="7" spans="16:17" x14ac:dyDescent="0.25">
      <c r="P7" s="2">
        <f t="shared" si="1"/>
        <v>628.21872781279569</v>
      </c>
      <c r="Q7" s="2">
        <f t="shared" si="0"/>
        <v>-9.9637304525201281E-2</v>
      </c>
    </row>
    <row r="8" spans="16:17" x14ac:dyDescent="0.25">
      <c r="P8" s="2">
        <f t="shared" si="1"/>
        <v>837.62497041706092</v>
      </c>
      <c r="Q8" s="2">
        <f t="shared" si="0"/>
        <v>0.92470810185443408</v>
      </c>
    </row>
    <row r="9" spans="16:17" x14ac:dyDescent="0.25">
      <c r="P9" s="2">
        <f t="shared" si="1"/>
        <v>1047.031213021326</v>
      </c>
      <c r="Q9" s="2">
        <f t="shared" si="0"/>
        <v>-0.77128614657970207</v>
      </c>
    </row>
    <row r="10" spans="16:17" x14ac:dyDescent="0.25">
      <c r="P10" s="2">
        <f t="shared" si="1"/>
        <v>1256.4374556255912</v>
      </c>
      <c r="Q10" s="2">
        <f t="shared" si="0"/>
        <v>-0.19828298324521931</v>
      </c>
    </row>
    <row r="11" spans="16:17" x14ac:dyDescent="0.25">
      <c r="P11" s="2">
        <f t="shared" si="1"/>
        <v>1465.8436982298563</v>
      </c>
      <c r="Q11" s="2">
        <f t="shared" si="0"/>
        <v>0.95803621367326808</v>
      </c>
    </row>
    <row r="12" spans="16:17" x14ac:dyDescent="0.25">
      <c r="P12" s="2">
        <f t="shared" si="1"/>
        <v>1675.2499408341214</v>
      </c>
      <c r="Q12" s="2">
        <f t="shared" si="0"/>
        <v>-0.70403008595186967</v>
      </c>
    </row>
    <row r="13" spans="16:17" x14ac:dyDescent="0.25">
      <c r="P13" s="2">
        <f t="shared" si="1"/>
        <v>1884.6561834383865</v>
      </c>
      <c r="Q13" s="2">
        <f t="shared" si="0"/>
        <v>-0.2949552793663614</v>
      </c>
    </row>
    <row r="14" spans="16:17" x14ac:dyDescent="0.25">
      <c r="P14" s="2">
        <f t="shared" si="1"/>
        <v>2094.0624260426516</v>
      </c>
      <c r="Q14" s="2">
        <f t="shared" si="0"/>
        <v>0.98182960918754603</v>
      </c>
    </row>
    <row r="15" spans="16:17" x14ac:dyDescent="0.25">
      <c r="P15" s="2">
        <f t="shared" si="1"/>
        <v>2303.4686686469167</v>
      </c>
      <c r="Q15" s="2">
        <f t="shared" si="0"/>
        <v>-0.62976726812256834</v>
      </c>
    </row>
    <row r="16" spans="16:17" x14ac:dyDescent="0.25">
      <c r="P16" s="2">
        <f t="shared" si="1"/>
        <v>2512.8749112511819</v>
      </c>
      <c r="Q16" s="2">
        <f t="shared" si="0"/>
        <v>-0.38869207589870769</v>
      </c>
    </row>
    <row r="17" spans="16:17" x14ac:dyDescent="0.25">
      <c r="P17" s="2">
        <f t="shared" si="1"/>
        <v>2722.281153855447</v>
      </c>
      <c r="Q17" s="2">
        <f t="shared" si="0"/>
        <v>0.99585148808334123</v>
      </c>
    </row>
    <row r="18" spans="16:17" x14ac:dyDescent="0.25">
      <c r="P18" s="2">
        <f t="shared" si="1"/>
        <v>2931.6873964597121</v>
      </c>
      <c r="Q18" s="2">
        <f t="shared" si="0"/>
        <v>-0.54923678300288215</v>
      </c>
    </row>
    <row r="19" spans="16:17" x14ac:dyDescent="0.25">
      <c r="P19" s="2">
        <f t="shared" si="1"/>
        <v>3141.0936390639772</v>
      </c>
      <c r="Q19" s="2">
        <f t="shared" si="0"/>
        <v>-0.47856047098585858</v>
      </c>
    </row>
    <row r="20" spans="16:17" x14ac:dyDescent="0.25">
      <c r="P20" s="2">
        <f t="shared" si="1"/>
        <v>3350.4998816682423</v>
      </c>
      <c r="Q20" s="2">
        <f t="shared" si="0"/>
        <v>0.99996229964699601</v>
      </c>
    </row>
    <row r="21" spans="16:17" x14ac:dyDescent="0.25">
      <c r="P21" s="2">
        <f t="shared" si="1"/>
        <v>3559.9061242725074</v>
      </c>
      <c r="Q21" s="2">
        <f t="shared" si="0"/>
        <v>-0.46324009855250387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RunExample3">
                <anchor moveWithCells="1" sizeWithCells="1">
                  <from>
                    <xdr:col>0</xdr:col>
                    <xdr:colOff>247650</xdr:colOff>
                    <xdr:row>27</xdr:row>
                    <xdr:rowOff>66675</xdr:rowOff>
                  </from>
                  <to>
                    <xdr:col>3</xdr:col>
                    <xdr:colOff>219075</xdr:colOff>
                    <xdr:row>29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35:L50"/>
  <sheetViews>
    <sheetView showGridLines="0" workbookViewId="0"/>
  </sheetViews>
  <sheetFormatPr defaultRowHeight="15" x14ac:dyDescent="0.25"/>
  <sheetData>
    <row r="35" spans="1:12" x14ac:dyDescent="0.25">
      <c r="A35" s="11">
        <v>-1</v>
      </c>
      <c r="B35" s="11">
        <f t="shared" ref="B35:L35" si="0">A35+0.2</f>
        <v>-0.8</v>
      </c>
      <c r="C35" s="11">
        <f t="shared" si="0"/>
        <v>-0.60000000000000009</v>
      </c>
      <c r="D35" s="11">
        <f t="shared" si="0"/>
        <v>-0.40000000000000008</v>
      </c>
      <c r="E35" s="11">
        <f t="shared" si="0"/>
        <v>-0.20000000000000007</v>
      </c>
      <c r="F35" s="11">
        <f t="shared" si="0"/>
        <v>0</v>
      </c>
      <c r="G35" s="11">
        <f t="shared" si="0"/>
        <v>0.2</v>
      </c>
      <c r="H35" s="11">
        <f t="shared" si="0"/>
        <v>0.4</v>
      </c>
      <c r="I35" s="11">
        <f t="shared" si="0"/>
        <v>0.60000000000000009</v>
      </c>
      <c r="J35" s="11">
        <f t="shared" si="0"/>
        <v>0.8</v>
      </c>
      <c r="K35" s="11">
        <f t="shared" si="0"/>
        <v>1</v>
      </c>
      <c r="L35" s="11">
        <f t="shared" si="0"/>
        <v>1.2</v>
      </c>
    </row>
    <row r="36" spans="1:12" x14ac:dyDescent="0.25">
      <c r="A36" s="11">
        <f t="shared" ref="A36:A50" si="1">A35+0.5</f>
        <v>-0.5</v>
      </c>
      <c r="B36" s="10">
        <f t="shared" ref="B36:L50" si="2">SIN($A36)*SIN(B$35)</f>
        <v>0.34391883025050934</v>
      </c>
      <c r="C36" s="10">
        <f t="shared" si="2"/>
        <v>0.27070402192622423</v>
      </c>
      <c r="D36" s="10">
        <f t="shared" si="2"/>
        <v>0.18669709850368069</v>
      </c>
      <c r="E36" s="10">
        <f t="shared" si="2"/>
        <v>9.5247150920558826E-2</v>
      </c>
      <c r="F36" s="10">
        <f t="shared" si="2"/>
        <v>0</v>
      </c>
      <c r="G36" s="10">
        <f t="shared" si="2"/>
        <v>-9.5247150920558799E-2</v>
      </c>
      <c r="H36" s="10">
        <f t="shared" si="2"/>
        <v>-0.18669709850368066</v>
      </c>
      <c r="I36" s="10">
        <f t="shared" si="2"/>
        <v>-0.27070402192622423</v>
      </c>
      <c r="J36" s="10">
        <f t="shared" si="2"/>
        <v>-0.34391883025050934</v>
      </c>
      <c r="K36" s="10">
        <f t="shared" si="2"/>
        <v>-0.40342268011133492</v>
      </c>
      <c r="L36" s="10">
        <f t="shared" si="2"/>
        <v>-0.44684334079000654</v>
      </c>
    </row>
    <row r="37" spans="1:12" x14ac:dyDescent="0.25">
      <c r="A37" s="11">
        <f t="shared" si="1"/>
        <v>0</v>
      </c>
      <c r="B37" s="10">
        <f t="shared" si="2"/>
        <v>0</v>
      </c>
      <c r="C37" s="10">
        <f t="shared" si="2"/>
        <v>0</v>
      </c>
      <c r="D37" s="10">
        <f t="shared" si="2"/>
        <v>0</v>
      </c>
      <c r="E37" s="10">
        <f t="shared" si="2"/>
        <v>0</v>
      </c>
      <c r="F37" s="10">
        <f t="shared" si="2"/>
        <v>0</v>
      </c>
      <c r="G37" s="10">
        <f t="shared" si="2"/>
        <v>0</v>
      </c>
      <c r="H37" s="10">
        <f t="shared" si="2"/>
        <v>0</v>
      </c>
      <c r="I37" s="10">
        <f t="shared" si="2"/>
        <v>0</v>
      </c>
      <c r="J37" s="10">
        <f t="shared" si="2"/>
        <v>0</v>
      </c>
      <c r="K37" s="10">
        <f t="shared" si="2"/>
        <v>0</v>
      </c>
      <c r="L37" s="10">
        <f t="shared" si="2"/>
        <v>0</v>
      </c>
    </row>
    <row r="38" spans="1:12" x14ac:dyDescent="0.25">
      <c r="A38" s="11">
        <f t="shared" si="1"/>
        <v>0.5</v>
      </c>
      <c r="B38" s="10">
        <f t="shared" si="2"/>
        <v>-0.34391883025050934</v>
      </c>
      <c r="C38" s="10">
        <f t="shared" si="2"/>
        <v>-0.27070402192622423</v>
      </c>
      <c r="D38" s="10">
        <f t="shared" si="2"/>
        <v>-0.18669709850368069</v>
      </c>
      <c r="E38" s="10">
        <f t="shared" si="2"/>
        <v>-9.5247150920558826E-2</v>
      </c>
      <c r="F38" s="10">
        <f t="shared" si="2"/>
        <v>0</v>
      </c>
      <c r="G38" s="10">
        <f t="shared" si="2"/>
        <v>9.5247150920558799E-2</v>
      </c>
      <c r="H38" s="10">
        <f t="shared" si="2"/>
        <v>0.18669709850368066</v>
      </c>
      <c r="I38" s="10">
        <f t="shared" si="2"/>
        <v>0.27070402192622423</v>
      </c>
      <c r="J38" s="10">
        <f t="shared" si="2"/>
        <v>0.34391883025050934</v>
      </c>
      <c r="K38" s="10">
        <f t="shared" si="2"/>
        <v>0.40342268011133492</v>
      </c>
      <c r="L38" s="10">
        <f t="shared" si="2"/>
        <v>0.44684334079000654</v>
      </c>
    </row>
    <row r="39" spans="1:12" x14ac:dyDescent="0.25">
      <c r="A39" s="11">
        <f t="shared" si="1"/>
        <v>1</v>
      </c>
      <c r="B39" s="10">
        <f t="shared" si="2"/>
        <v>-0.60363433626716434</v>
      </c>
      <c r="C39" s="10">
        <f t="shared" si="2"/>
        <v>-0.47513025815208698</v>
      </c>
      <c r="D39" s="10">
        <f t="shared" si="2"/>
        <v>-0.32768423600471874</v>
      </c>
      <c r="E39" s="10">
        <f t="shared" si="2"/>
        <v>-0.16717447743524597</v>
      </c>
      <c r="F39" s="10">
        <f t="shared" si="2"/>
        <v>0</v>
      </c>
      <c r="G39" s="10">
        <f t="shared" si="2"/>
        <v>0.16717447743524591</v>
      </c>
      <c r="H39" s="10">
        <f t="shared" si="2"/>
        <v>0.32768423600471869</v>
      </c>
      <c r="I39" s="10">
        <f t="shared" si="2"/>
        <v>0.47513025815208698</v>
      </c>
      <c r="J39" s="10">
        <f t="shared" si="2"/>
        <v>0.60363433626716434</v>
      </c>
      <c r="K39" s="10">
        <f t="shared" si="2"/>
        <v>0.70807341827357118</v>
      </c>
      <c r="L39" s="10">
        <f t="shared" si="2"/>
        <v>0.78428384754829361</v>
      </c>
    </row>
    <row r="40" spans="1:12" x14ac:dyDescent="0.25">
      <c r="A40" s="11">
        <f t="shared" si="1"/>
        <v>1.5</v>
      </c>
      <c r="B40" s="10">
        <f t="shared" si="2"/>
        <v>-0.7155591042821563</v>
      </c>
      <c r="C40" s="10">
        <f t="shared" si="2"/>
        <v>-0.56322803643526109</v>
      </c>
      <c r="D40" s="10">
        <f t="shared" si="2"/>
        <v>-0.3884428441445405</v>
      </c>
      <c r="E40" s="10">
        <f t="shared" si="2"/>
        <v>-0.1981716614600561</v>
      </c>
      <c r="F40" s="10">
        <f t="shared" si="2"/>
        <v>0</v>
      </c>
      <c r="G40" s="10">
        <f t="shared" si="2"/>
        <v>0.19817166146005605</v>
      </c>
      <c r="H40" s="10">
        <f t="shared" si="2"/>
        <v>0.38844284414454044</v>
      </c>
      <c r="I40" s="10">
        <f t="shared" si="2"/>
        <v>0.56322803643526109</v>
      </c>
      <c r="J40" s="10">
        <f t="shared" si="2"/>
        <v>0.7155591042821563</v>
      </c>
      <c r="K40" s="10">
        <f t="shared" si="2"/>
        <v>0.83936308871865317</v>
      </c>
      <c r="L40" s="10">
        <f t="shared" si="2"/>
        <v>0.92970431557133348</v>
      </c>
    </row>
    <row r="41" spans="1:12" x14ac:dyDescent="0.25">
      <c r="A41" s="11">
        <f t="shared" si="1"/>
        <v>2</v>
      </c>
      <c r="B41" s="10">
        <f t="shared" si="2"/>
        <v>-0.65229004757266595</v>
      </c>
      <c r="C41" s="10">
        <f t="shared" si="2"/>
        <v>-0.51342794813459425</v>
      </c>
      <c r="D41" s="10">
        <f t="shared" si="2"/>
        <v>-0.35409709661997846</v>
      </c>
      <c r="E41" s="10">
        <f t="shared" si="2"/>
        <v>-0.18064951128112938</v>
      </c>
      <c r="F41" s="10">
        <f t="shared" si="2"/>
        <v>0</v>
      </c>
      <c r="G41" s="10">
        <f t="shared" si="2"/>
        <v>0.18064951128112933</v>
      </c>
      <c r="H41" s="10">
        <f t="shared" si="2"/>
        <v>0.3540970966199784</v>
      </c>
      <c r="I41" s="10">
        <f t="shared" si="2"/>
        <v>0.51342794813459425</v>
      </c>
      <c r="J41" s="10">
        <f t="shared" si="2"/>
        <v>0.65229004757266595</v>
      </c>
      <c r="K41" s="10">
        <f t="shared" si="2"/>
        <v>0.76514740123429259</v>
      </c>
      <c r="L41" s="10">
        <f t="shared" si="2"/>
        <v>0.8475007425709592</v>
      </c>
    </row>
    <row r="42" spans="1:12" x14ac:dyDescent="0.25">
      <c r="A42" s="11">
        <f t="shared" si="1"/>
        <v>2.5</v>
      </c>
      <c r="B42" s="10">
        <f t="shared" si="2"/>
        <v>-0.42931763780667015</v>
      </c>
      <c r="C42" s="10">
        <f t="shared" si="2"/>
        <v>-0.33792279170488815</v>
      </c>
      <c r="D42" s="10">
        <f t="shared" si="2"/>
        <v>-0.2330560302748666</v>
      </c>
      <c r="E42" s="10">
        <f t="shared" si="2"/>
        <v>-0.11889806036861852</v>
      </c>
      <c r="F42" s="10">
        <f t="shared" si="2"/>
        <v>0</v>
      </c>
      <c r="G42" s="10">
        <f t="shared" si="2"/>
        <v>0.11889806036861848</v>
      </c>
      <c r="H42" s="10">
        <f t="shared" si="2"/>
        <v>0.23305603027486657</v>
      </c>
      <c r="I42" s="10">
        <f t="shared" si="2"/>
        <v>0.33792279170488815</v>
      </c>
      <c r="J42" s="10">
        <f t="shared" si="2"/>
        <v>0.42931763780667015</v>
      </c>
      <c r="K42" s="10">
        <f t="shared" si="2"/>
        <v>0.50359694447924963</v>
      </c>
      <c r="L42" s="10">
        <f t="shared" si="2"/>
        <v>0.55779943016749778</v>
      </c>
    </row>
    <row r="43" spans="1:12" x14ac:dyDescent="0.25">
      <c r="A43" s="11">
        <f t="shared" si="1"/>
        <v>3</v>
      </c>
      <c r="B43" s="10">
        <f t="shared" si="2"/>
        <v>-0.1012332973295355</v>
      </c>
      <c r="C43" s="10">
        <f t="shared" si="2"/>
        <v>-7.968235039645076E-2</v>
      </c>
      <c r="D43" s="10">
        <f t="shared" si="2"/>
        <v>-5.4954719605256899E-2</v>
      </c>
      <c r="E43" s="10">
        <f t="shared" si="2"/>
        <v>-2.8036217563047472E-2</v>
      </c>
      <c r="F43" s="10">
        <f t="shared" si="2"/>
        <v>0</v>
      </c>
      <c r="G43" s="10">
        <f t="shared" si="2"/>
        <v>2.8036217563047465E-2</v>
      </c>
      <c r="H43" s="10">
        <f t="shared" si="2"/>
        <v>5.4954719605256892E-2</v>
      </c>
      <c r="I43" s="10">
        <f t="shared" si="2"/>
        <v>7.968235039645076E-2</v>
      </c>
      <c r="J43" s="10">
        <f t="shared" si="2"/>
        <v>0.1012332973295355</v>
      </c>
      <c r="K43" s="10">
        <f t="shared" si="2"/>
        <v>0.11874839215823475</v>
      </c>
      <c r="L43" s="10">
        <f t="shared" si="2"/>
        <v>0.13152936332380624</v>
      </c>
    </row>
    <row r="44" spans="1:12" x14ac:dyDescent="0.25">
      <c r="A44" s="11">
        <f t="shared" si="1"/>
        <v>3.5</v>
      </c>
      <c r="B44" s="10">
        <f t="shared" si="2"/>
        <v>0.25163648496854291</v>
      </c>
      <c r="C44" s="10">
        <f t="shared" si="2"/>
        <v>0.19806710930816085</v>
      </c>
      <c r="D44" s="10">
        <f t="shared" si="2"/>
        <v>0.13660142303656969</v>
      </c>
      <c r="E44" s="10">
        <f t="shared" si="2"/>
        <v>6.9689869099228377E-2</v>
      </c>
      <c r="F44" s="10">
        <f t="shared" si="2"/>
        <v>0</v>
      </c>
      <c r="G44" s="10">
        <f t="shared" si="2"/>
        <v>-6.9689869099228363E-2</v>
      </c>
      <c r="H44" s="10">
        <f t="shared" si="2"/>
        <v>-0.13660142303656966</v>
      </c>
      <c r="I44" s="10">
        <f t="shared" si="2"/>
        <v>-0.19806710930816085</v>
      </c>
      <c r="J44" s="10">
        <f t="shared" si="2"/>
        <v>-0.25163648496854291</v>
      </c>
      <c r="K44" s="10">
        <f t="shared" si="2"/>
        <v>-0.29517390805807697</v>
      </c>
      <c r="L44" s="10">
        <f t="shared" si="2"/>
        <v>-0.32694367890846671</v>
      </c>
    </row>
    <row r="45" spans="1:12" x14ac:dyDescent="0.25">
      <c r="A45" s="11">
        <f t="shared" si="1"/>
        <v>4</v>
      </c>
      <c r="B45" s="10">
        <f t="shared" si="2"/>
        <v>0.54289687961709976</v>
      </c>
      <c r="C45" s="10">
        <f t="shared" si="2"/>
        <v>0.42732283282220329</v>
      </c>
      <c r="D45" s="10">
        <f t="shared" si="2"/>
        <v>0.29471277317786371</v>
      </c>
      <c r="E45" s="10">
        <f t="shared" si="2"/>
        <v>0.15035344528685859</v>
      </c>
      <c r="F45" s="10">
        <f t="shared" si="2"/>
        <v>0</v>
      </c>
      <c r="G45" s="10">
        <f t="shared" si="2"/>
        <v>-0.15035344528685854</v>
      </c>
      <c r="H45" s="10">
        <f t="shared" si="2"/>
        <v>-0.29471277317786365</v>
      </c>
      <c r="I45" s="10">
        <f t="shared" si="2"/>
        <v>-0.42732283282220329</v>
      </c>
      <c r="J45" s="10">
        <f t="shared" si="2"/>
        <v>-0.54289687961709976</v>
      </c>
      <c r="K45" s="10">
        <f t="shared" si="2"/>
        <v>-0.6368273410318358</v>
      </c>
      <c r="L45" s="10">
        <f t="shared" si="2"/>
        <v>-0.70536950598451742</v>
      </c>
    </row>
    <row r="46" spans="1:12" x14ac:dyDescent="0.25">
      <c r="A46" s="11">
        <f t="shared" si="1"/>
        <v>4.5</v>
      </c>
      <c r="B46" s="10">
        <f t="shared" si="2"/>
        <v>0.70123718394478451</v>
      </c>
      <c r="C46" s="10">
        <f t="shared" si="2"/>
        <v>0.55195502345656045</v>
      </c>
      <c r="D46" s="10">
        <f t="shared" si="2"/>
        <v>0.38066815797792225</v>
      </c>
      <c r="E46" s="10">
        <f t="shared" si="2"/>
        <v>0.19420525430854232</v>
      </c>
      <c r="F46" s="10">
        <f t="shared" si="2"/>
        <v>0</v>
      </c>
      <c r="G46" s="10">
        <f t="shared" si="2"/>
        <v>-0.19420525430854227</v>
      </c>
      <c r="H46" s="10">
        <f t="shared" si="2"/>
        <v>-0.38066815797792219</v>
      </c>
      <c r="I46" s="10">
        <f t="shared" si="2"/>
        <v>-0.55195502345656045</v>
      </c>
      <c r="J46" s="10">
        <f t="shared" si="2"/>
        <v>-0.70123718394478451</v>
      </c>
      <c r="K46" s="10">
        <f t="shared" si="2"/>
        <v>-0.82256323079102811</v>
      </c>
      <c r="L46" s="10">
        <f t="shared" si="2"/>
        <v>-0.91109627737401222</v>
      </c>
    </row>
    <row r="47" spans="1:12" x14ac:dyDescent="0.25">
      <c r="A47" s="11">
        <f t="shared" si="1"/>
        <v>5</v>
      </c>
      <c r="B47" s="10">
        <f t="shared" si="2"/>
        <v>0.68789016914100931</v>
      </c>
      <c r="C47" s="10">
        <f t="shared" si="2"/>
        <v>0.54144937424433481</v>
      </c>
      <c r="D47" s="10">
        <f t="shared" si="2"/>
        <v>0.37342270143884454</v>
      </c>
      <c r="E47" s="10">
        <f t="shared" si="2"/>
        <v>0.19050884393046524</v>
      </c>
      <c r="F47" s="10">
        <f t="shared" si="2"/>
        <v>0</v>
      </c>
      <c r="G47" s="10">
        <f t="shared" si="2"/>
        <v>-0.19050884393046519</v>
      </c>
      <c r="H47" s="10">
        <f t="shared" si="2"/>
        <v>-0.37342270143884448</v>
      </c>
      <c r="I47" s="10">
        <f t="shared" si="2"/>
        <v>-0.54144937424433481</v>
      </c>
      <c r="J47" s="10">
        <f t="shared" si="2"/>
        <v>-0.68789016914100931</v>
      </c>
      <c r="K47" s="10">
        <f t="shared" si="2"/>
        <v>-0.80690695375698895</v>
      </c>
      <c r="L47" s="10">
        <f t="shared" si="2"/>
        <v>-0.893754904468817</v>
      </c>
    </row>
    <row r="48" spans="1:12" x14ac:dyDescent="0.25">
      <c r="A48" s="11">
        <f t="shared" si="1"/>
        <v>5.5</v>
      </c>
      <c r="B48" s="10">
        <f t="shared" si="2"/>
        <v>0.50612364992315295</v>
      </c>
      <c r="C48" s="10">
        <f t="shared" si="2"/>
        <v>0.3983780345100047</v>
      </c>
      <c r="D48" s="10">
        <f t="shared" si="2"/>
        <v>0.27475034401552767</v>
      </c>
      <c r="E48" s="10">
        <f t="shared" si="2"/>
        <v>0.14016922432999943</v>
      </c>
      <c r="F48" s="10">
        <f t="shared" si="2"/>
        <v>0</v>
      </c>
      <c r="G48" s="10">
        <f t="shared" si="2"/>
        <v>-0.14016922432999937</v>
      </c>
      <c r="H48" s="10">
        <f t="shared" si="2"/>
        <v>-0.27475034401552761</v>
      </c>
      <c r="I48" s="10">
        <f t="shared" si="2"/>
        <v>-0.3983780345100047</v>
      </c>
      <c r="J48" s="10">
        <f t="shared" si="2"/>
        <v>-0.50612364992315295</v>
      </c>
      <c r="K48" s="10">
        <f t="shared" si="2"/>
        <v>-0.59369171257940156</v>
      </c>
      <c r="L48" s="10">
        <f t="shared" si="2"/>
        <v>-0.65759116015764729</v>
      </c>
    </row>
    <row r="49" spans="1:12" x14ac:dyDescent="0.25">
      <c r="A49" s="11">
        <f t="shared" si="1"/>
        <v>6</v>
      </c>
      <c r="B49" s="10">
        <f t="shared" si="2"/>
        <v>0.20044040952472411</v>
      </c>
      <c r="C49" s="10">
        <f t="shared" si="2"/>
        <v>0.15776985800794757</v>
      </c>
      <c r="D49" s="10">
        <f t="shared" si="2"/>
        <v>0.10880952012397145</v>
      </c>
      <c r="E49" s="10">
        <f t="shared" si="2"/>
        <v>5.5511290040949249E-2</v>
      </c>
      <c r="F49" s="10">
        <f t="shared" si="2"/>
        <v>0</v>
      </c>
      <c r="G49" s="10">
        <f t="shared" si="2"/>
        <v>-5.5511290040949235E-2</v>
      </c>
      <c r="H49" s="10">
        <f t="shared" si="2"/>
        <v>-0.10880952012397144</v>
      </c>
      <c r="I49" s="10">
        <f t="shared" si="2"/>
        <v>-0.15776985800794757</v>
      </c>
      <c r="J49" s="10">
        <f t="shared" si="2"/>
        <v>-0.20044040952472411</v>
      </c>
      <c r="K49" s="10">
        <f t="shared" si="2"/>
        <v>-0.23512003444003918</v>
      </c>
      <c r="L49" s="10">
        <f t="shared" si="2"/>
        <v>-0.26042616554640402</v>
      </c>
    </row>
    <row r="50" spans="1:12" x14ac:dyDescent="0.25">
      <c r="A50" s="11">
        <f t="shared" si="1"/>
        <v>6.5</v>
      </c>
      <c r="B50" s="10">
        <f t="shared" si="2"/>
        <v>-0.15431763372902724</v>
      </c>
      <c r="C50" s="10">
        <f t="shared" si="2"/>
        <v>-0.12146588215061473</v>
      </c>
      <c r="D50" s="10">
        <f t="shared" si="2"/>
        <v>-8.3771669158613782E-2</v>
      </c>
      <c r="E50" s="10">
        <f t="shared" si="2"/>
        <v>-4.2737744074047859E-2</v>
      </c>
      <c r="F50" s="10">
        <f t="shared" si="2"/>
        <v>0</v>
      </c>
      <c r="G50" s="10">
        <f t="shared" si="2"/>
        <v>4.2737744074047852E-2</v>
      </c>
      <c r="H50" s="10">
        <f t="shared" si="2"/>
        <v>8.3771669158613768E-2</v>
      </c>
      <c r="I50" s="10">
        <f t="shared" si="2"/>
        <v>0.12146588215061473</v>
      </c>
      <c r="J50" s="10">
        <f t="shared" si="2"/>
        <v>0.15431763372902724</v>
      </c>
      <c r="K50" s="10">
        <f t="shared" si="2"/>
        <v>0.18101722822811708</v>
      </c>
      <c r="L50" s="10">
        <f t="shared" si="2"/>
        <v>0.20050023707064818</v>
      </c>
    </row>
  </sheetData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Rotate1">
                <anchor moveWithCells="1" sizeWithCells="1">
                  <from>
                    <xdr:col>10</xdr:col>
                    <xdr:colOff>352425</xdr:colOff>
                    <xdr:row>0</xdr:row>
                    <xdr:rowOff>76200</xdr:rowOff>
                  </from>
                  <to>
                    <xdr:col>12</xdr:col>
                    <xdr:colOff>19050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rotate2">
                <anchor moveWithCells="1" sizeWithCells="1">
                  <from>
                    <xdr:col>10</xdr:col>
                    <xdr:colOff>352425</xdr:colOff>
                    <xdr:row>3</xdr:row>
                    <xdr:rowOff>9525</xdr:rowOff>
                  </from>
                  <to>
                    <xdr:col>12</xdr:col>
                    <xdr:colOff>19050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rotate3">
                <anchor moveWithCells="1" sizeWithCells="1">
                  <from>
                    <xdr:col>10</xdr:col>
                    <xdr:colOff>352425</xdr:colOff>
                    <xdr:row>5</xdr:row>
                    <xdr:rowOff>104775</xdr:rowOff>
                  </from>
                  <to>
                    <xdr:col>12</xdr:col>
                    <xdr:colOff>19050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2007-01-08T22:48:16Z</outs:dateTime>
      <outs:isPinned>true</outs:isPinned>
    </outs:relatedDate>
    <outs:relatedDate>
      <outs:type>2</outs:type>
      <outs:displayName>Created</outs:displayName>
      <outs:dateTime>1995-06-10T19:57:32Z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D20510B-CE3C-42EC-93BF-24DF459FF8F6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Simple</vt:lpstr>
      <vt:lpstr>Example-1</vt:lpstr>
      <vt:lpstr>Example-2</vt:lpstr>
      <vt:lpstr>Example-3</vt:lpstr>
      <vt:lpstr>Example-4</vt:lpstr>
      <vt:lpstr>Base</vt:lpstr>
      <vt:lpstr>Inc</vt:lpstr>
      <vt:lpstr>Multiplier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animated charts.xlsm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1995-06-10T19:57:32Z</dcterms:created>
  <dcterms:modified xsi:type="dcterms:W3CDTF">2018-02-21T04:26:43Z</dcterms:modified>
  <cp:category>Excel 2010 Power Programming With VBA</cp:category>
</cp:coreProperties>
</file>