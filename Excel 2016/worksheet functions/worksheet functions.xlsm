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 codeName="{EFFCB103-AD96-A003-248E-DF2DB03C9060}"/>
  <workbookPr showInkAnnotation="0"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6 Power Programming\Code\Chapter 7 Samples\"/>
    </mc:Choice>
  </mc:AlternateContent>
  <xr:revisionPtr revIDLastSave="0" documentId="13_ncr:1_{FA27C941-7AB6-4BC7-8708-B0D10F552B34}" xr6:coauthVersionLast="34" xr6:coauthVersionMax="34" xr10:uidLastSave="{00000000-0000-0000-0000-000000000000}"/>
  <bookViews>
    <workbookView xWindow="0" yWindow="0" windowWidth="13905" windowHeight="7635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calcPr calcId="179017"/>
  <webPublishing codePage="1252"/>
</workbook>
</file>

<file path=xl/calcChain.xml><?xml version="1.0" encoding="utf-8"?>
<calcChain xmlns="http://schemas.openxmlformats.org/spreadsheetml/2006/main">
  <c r="C6" i="1" l="1"/>
  <c r="B6" i="1" s="1"/>
  <c r="B48" i="1" a="1"/>
  <c r="B8" i="1"/>
  <c r="B5" i="1"/>
  <c r="B34" i="1"/>
  <c r="B43" i="1" a="1"/>
  <c r="B27" i="1"/>
  <c r="B33" i="1"/>
  <c r="B14" i="1"/>
  <c r="B9" i="1"/>
  <c r="B29" i="1"/>
  <c r="B2" i="1"/>
  <c r="C12" i="1"/>
  <c r="B7" i="1"/>
  <c r="B35" i="1"/>
  <c r="B37" i="1"/>
  <c r="B36" i="1"/>
  <c r="B13" i="1"/>
  <c r="B39" i="1" a="1"/>
  <c r="B3" i="1"/>
  <c r="B31" i="1"/>
  <c r="B28" i="1"/>
  <c r="B11" i="1"/>
  <c r="B10" i="1"/>
  <c r="B12" i="1"/>
  <c r="B32" i="1"/>
  <c r="B4" i="1"/>
  <c r="B38" i="1"/>
  <c r="B49" i="1" l="1"/>
  <c r="B50" i="1"/>
  <c r="B51" i="1"/>
  <c r="B52" i="1"/>
  <c r="B48" i="1"/>
  <c r="B43" i="1"/>
  <c r="B44" i="1"/>
  <c r="B45" i="1"/>
  <c r="B46" i="1"/>
  <c r="B47" i="1"/>
  <c r="B39" i="1"/>
  <c r="B40" i="1"/>
  <c r="B41" i="1"/>
  <c r="B42" i="1"/>
  <c r="B30" i="1"/>
</calcChain>
</file>

<file path=xl/sharedStrings.xml><?xml version="1.0" encoding="utf-8"?>
<sst xmlns="http://schemas.openxmlformats.org/spreadsheetml/2006/main" count="24" uniqueCount="24">
  <si>
    <t>This workbook contains a number of useful worksheet functions:</t>
  </si>
  <si>
    <t>ISBOLD</t>
  </si>
  <si>
    <t>ISITALIC</t>
  </si>
  <si>
    <t>ALLBOLD</t>
  </si>
  <si>
    <t>FILLCOLOR</t>
  </si>
  <si>
    <t>SAYIT</t>
  </si>
  <si>
    <t>LASTSAVED</t>
  </si>
  <si>
    <t>LASTPRINTED</t>
  </si>
  <si>
    <t>SHEETNAME</t>
  </si>
  <si>
    <t>WORKBOOKNAME</t>
  </si>
  <si>
    <t>APPNAME</t>
  </si>
  <si>
    <t>COUNTBETWEEN</t>
  </si>
  <si>
    <t>LASTINCOLUMN</t>
  </si>
  <si>
    <t>LASTINROW</t>
  </si>
  <si>
    <t>ISLIKE</t>
  </si>
  <si>
    <t>EXTRACTELEMENT</t>
  </si>
  <si>
    <t>EXTRACTELEMENT2</t>
  </si>
  <si>
    <t>SPELLDOLLARS</t>
  </si>
  <si>
    <t>STATFUNCTION</t>
  </si>
  <si>
    <t>SHEETOFFSET</t>
  </si>
  <si>
    <t>MAXALLSHEETS</t>
  </si>
  <si>
    <t>RANDOMINTEGERS</t>
  </si>
  <si>
    <t>RANGERANDOMIZE</t>
  </si>
  <si>
    <t>SORTED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</si>
</sst>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m/d/yyyy\ hh:mm:ss"/>
  </numFmts>
  <fonts count="4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Font="1"/>
    <xf numFmtId="0" fontId="1" fillId="0" borderId="0" xfId="0" applyFont="1" applyAlignment="1">
      <alignment vertical="top"/>
    </xf>
    <xf numFmtId="164" fontId="0" fillId="0" borderId="0" xfId="0" applyNumberFormat="1"/>
    <xf numFmtId="0" fontId="2" fillId="0" borderId="0" xfId="0" applyNumberFormat="1" applyFont="1" applyAlignment="1"/>
    <xf numFmtId="0" fontId="0" fillId="0" borderId="0" xfId="0" applyNumberFormat="1" applyFont="1" applyAlignment="1"/>
    <xf numFmtId="0" fontId="1" fillId="0" borderId="0" xfId="0" applyFont="1" applyAlignment="1">
      <alignment horizontal="left" indent="1"/>
    </xf>
    <xf numFmtId="0" fontId="1" fillId="2" borderId="0" xfId="0" applyFont="1" applyFill="1" applyAlignment="1">
      <alignment horizontal="left" indent="1"/>
    </xf>
    <xf numFmtId="0" fontId="3" fillId="0" borderId="0" xfId="0" applyFo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45FF70AD-E54C-485F-A860-A52F0C0BAFFA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52"/>
  <sheetViews>
    <sheetView tabSelected="1" workbookViewId="0"/>
  </sheetViews>
  <sheetFormatPr defaultRowHeight="15" x14ac:dyDescent="0.25"/>
  <cols>
    <col min="1" max="1" width="23.28515625" customWidth="1"/>
    <col min="2" max="2" width="20" customWidth="1"/>
    <col min="8" max="10" width="11" customWidth="1"/>
  </cols>
  <sheetData>
    <row r="1" spans="1:5" ht="24" customHeight="1" x14ac:dyDescent="0.25">
      <c r="A1" s="2" t="s">
        <v>0</v>
      </c>
    </row>
    <row r="2" spans="1:5" x14ac:dyDescent="0.25">
      <c r="A2" s="6" t="s">
        <v>1</v>
      </c>
      <c r="B2" t="b">
        <f>ISBOLD(A2)</f>
        <v>1</v>
      </c>
    </row>
    <row r="3" spans="1:5" x14ac:dyDescent="0.25">
      <c r="A3" s="6" t="s">
        <v>2</v>
      </c>
      <c r="B3" t="b">
        <f>ISITALIC(A3)</f>
        <v>0</v>
      </c>
    </row>
    <row r="4" spans="1:5" x14ac:dyDescent="0.25">
      <c r="A4" s="6" t="s">
        <v>3</v>
      </c>
      <c r="B4" t="b">
        <f>ALLBOLD(A4)</f>
        <v>1</v>
      </c>
    </row>
    <row r="5" spans="1:5" x14ac:dyDescent="0.25">
      <c r="A5" s="7" t="s">
        <v>4</v>
      </c>
      <c r="B5">
        <f ca="1">FILLCOLOR(A5)</f>
        <v>20</v>
      </c>
    </row>
    <row r="6" spans="1:5" x14ac:dyDescent="0.25">
      <c r="A6" s="6" t="s">
        <v>5</v>
      </c>
      <c r="B6" t="b">
        <f ca="1">IF(C6=7,SAYIT("Cell C6 is equal to seven"))</f>
        <v>0</v>
      </c>
      <c r="C6">
        <f ca="1">RANDBETWEEN(1,10)</f>
        <v>8</v>
      </c>
    </row>
    <row r="7" spans="1:5" x14ac:dyDescent="0.25">
      <c r="A7" s="6" t="s">
        <v>6</v>
      </c>
      <c r="B7" s="3">
        <f ca="1">LASTSAVED()</f>
        <v>41170.416770833333</v>
      </c>
    </row>
    <row r="8" spans="1:5" x14ac:dyDescent="0.25">
      <c r="A8" s="6" t="s">
        <v>7</v>
      </c>
      <c r="B8" s="3">
        <f ca="1">LASTPRINTED()</f>
        <v>41169.777060185188</v>
      </c>
    </row>
    <row r="9" spans="1:5" x14ac:dyDescent="0.25">
      <c r="A9" s="6" t="s">
        <v>8</v>
      </c>
      <c r="B9" t="str">
        <f>SHEETNAME(A1)</f>
        <v>Sheet1</v>
      </c>
    </row>
    <row r="10" spans="1:5" x14ac:dyDescent="0.25">
      <c r="A10" s="6" t="s">
        <v>9</v>
      </c>
      <c r="B10" t="str">
        <f>WORKBOOKNAME(A1)</f>
        <v>worksheet functions.xlsm</v>
      </c>
    </row>
    <row r="11" spans="1:5" x14ac:dyDescent="0.25">
      <c r="A11" s="6" t="s">
        <v>10</v>
      </c>
      <c r="B11" t="str">
        <f>APPNAME(A1)</f>
        <v>Microsoft Excel</v>
      </c>
    </row>
    <row r="12" spans="1:5" x14ac:dyDescent="0.25">
      <c r="A12" s="6" t="s">
        <v>11</v>
      </c>
      <c r="B12">
        <f>COUNTBETWEEN(A16:A26,2,5)</f>
        <v>5</v>
      </c>
      <c r="C12">
        <f>COUNTBETWEEN(A16:A26,5,2)</f>
        <v>5</v>
      </c>
    </row>
    <row r="13" spans="1:5" x14ac:dyDescent="0.25">
      <c r="A13" s="6" t="s">
        <v>12</v>
      </c>
      <c r="B13">
        <f ca="1">LASTINCOLUMN(E1)</f>
        <v>999</v>
      </c>
    </row>
    <row r="14" spans="1:5" x14ac:dyDescent="0.25">
      <c r="A14" s="6" t="s">
        <v>13</v>
      </c>
      <c r="B14">
        <f ca="1">LASTINROW(A16)</f>
        <v>999</v>
      </c>
    </row>
    <row r="15" spans="1:5" x14ac:dyDescent="0.25">
      <c r="A15" s="1"/>
    </row>
    <row r="16" spans="1:5" x14ac:dyDescent="0.25">
      <c r="A16" s="1">
        <v>0</v>
      </c>
      <c r="E16">
        <v>999</v>
      </c>
    </row>
    <row r="17" spans="1:2" x14ac:dyDescent="0.25">
      <c r="A17" s="1">
        <v>1</v>
      </c>
    </row>
    <row r="18" spans="1:2" x14ac:dyDescent="0.25">
      <c r="A18" s="1">
        <v>2</v>
      </c>
    </row>
    <row r="19" spans="1:2" x14ac:dyDescent="0.25">
      <c r="A19" s="1">
        <v>4</v>
      </c>
    </row>
    <row r="20" spans="1:2" x14ac:dyDescent="0.25">
      <c r="A20" s="1">
        <v>3</v>
      </c>
    </row>
    <row r="21" spans="1:2" x14ac:dyDescent="0.25">
      <c r="A21" s="1">
        <v>2</v>
      </c>
    </row>
    <row r="22" spans="1:2" x14ac:dyDescent="0.25">
      <c r="A22" s="1">
        <v>6</v>
      </c>
    </row>
    <row r="23" spans="1:2" x14ac:dyDescent="0.25">
      <c r="A23" s="1">
        <v>8</v>
      </c>
    </row>
    <row r="24" spans="1:2" x14ac:dyDescent="0.25">
      <c r="A24" s="1">
        <v>9</v>
      </c>
    </row>
    <row r="25" spans="1:2" x14ac:dyDescent="0.25">
      <c r="A25" s="1">
        <v>10</v>
      </c>
    </row>
    <row r="26" spans="1:2" x14ac:dyDescent="0.25">
      <c r="A26" s="1">
        <v>3</v>
      </c>
    </row>
    <row r="27" spans="1:2" x14ac:dyDescent="0.25">
      <c r="A27" s="6" t="s">
        <v>14</v>
      </c>
      <c r="B27" t="b">
        <f>ISLIKE(A1,"*workbook*")</f>
        <v>1</v>
      </c>
    </row>
    <row r="28" spans="1:2" x14ac:dyDescent="0.25">
      <c r="A28" s="6" t="s">
        <v>15</v>
      </c>
      <c r="B28" t="str">
        <f>EXTRACTELEMENT("123-456-789",2,"-")</f>
        <v>456</v>
      </c>
    </row>
    <row r="29" spans="1:2" x14ac:dyDescent="0.25">
      <c r="A29" s="6" t="s">
        <v>16</v>
      </c>
      <c r="B29" t="str">
        <f>EXTRACTELEMENT2("123-456-789",2,"-")</f>
        <v>456</v>
      </c>
    </row>
    <row r="30" spans="1:2" x14ac:dyDescent="0.25">
      <c r="A30" s="6" t="s">
        <v>17</v>
      </c>
      <c r="B30" t="str">
        <f>SPELLDOLLARS(B32)</f>
        <v>Five and 20/100 Dollars</v>
      </c>
    </row>
    <row r="31" spans="1:2" x14ac:dyDescent="0.25">
      <c r="A31" s="6" t="s">
        <v>18</v>
      </c>
      <c r="B31">
        <f>STATFUNCTION($A$32:$A$36,"sum")</f>
        <v>26</v>
      </c>
    </row>
    <row r="32" spans="1:2" x14ac:dyDescent="0.25">
      <c r="A32" s="4">
        <v>5</v>
      </c>
      <c r="B32">
        <f>STATFUNCTION($A$32:$A$36,"average")</f>
        <v>5.2</v>
      </c>
    </row>
    <row r="33" spans="1:2" x14ac:dyDescent="0.25">
      <c r="A33" s="4">
        <v>4</v>
      </c>
      <c r="B33">
        <f>STATFUNCTION($A$32:$A$36,"median")</f>
        <v>4</v>
      </c>
    </row>
    <row r="34" spans="1:2" x14ac:dyDescent="0.25">
      <c r="A34" s="5">
        <v>11</v>
      </c>
      <c r="B34">
        <f>STATFUNCTION($A$32:$A$36,"max")</f>
        <v>11</v>
      </c>
    </row>
    <row r="35" spans="1:2" x14ac:dyDescent="0.25">
      <c r="A35" s="4">
        <v>3</v>
      </c>
      <c r="B35">
        <f>STATFUNCTION($A$32:$A$36,"min")</f>
        <v>3</v>
      </c>
    </row>
    <row r="36" spans="1:2" x14ac:dyDescent="0.25">
      <c r="A36" s="4">
        <v>3</v>
      </c>
      <c r="B36">
        <f>STATFUNCTION($A$32:$A$36,"stdev")</f>
        <v>3.3466401061363027</v>
      </c>
    </row>
    <row r="37" spans="1:2" x14ac:dyDescent="0.25">
      <c r="A37" s="6" t="s">
        <v>19</v>
      </c>
      <c r="B37">
        <f ca="1">SHEETOFFSET(2,A1)</f>
        <v>246</v>
      </c>
    </row>
    <row r="38" spans="1:2" x14ac:dyDescent="0.25">
      <c r="A38" s="6" t="s">
        <v>20</v>
      </c>
      <c r="B38">
        <f ca="1">MAXALLSHEETS((A1))</f>
        <v>246</v>
      </c>
    </row>
    <row r="39" spans="1:2" x14ac:dyDescent="0.25">
      <c r="A39" s="6" t="s">
        <v>21</v>
      </c>
      <c r="B39">
        <f t="array" ref="B39:B42">RANDOMINTEGERS()</f>
        <v>2</v>
      </c>
    </row>
    <row r="40" spans="1:2" x14ac:dyDescent="0.25">
      <c r="A40" s="6"/>
      <c r="B40">
        <v>3</v>
      </c>
    </row>
    <row r="41" spans="1:2" x14ac:dyDescent="0.25">
      <c r="A41" s="6"/>
      <c r="B41">
        <v>1</v>
      </c>
    </row>
    <row r="42" spans="1:2" x14ac:dyDescent="0.25">
      <c r="A42" s="6"/>
      <c r="B42">
        <v>4</v>
      </c>
    </row>
    <row r="43" spans="1:2" x14ac:dyDescent="0.25">
      <c r="A43" s="6" t="s">
        <v>22</v>
      </c>
      <c r="B43">
        <f t="array" ref="B43:B47">RANGERANDOMIZE(A32:A36)</f>
        <v>3</v>
      </c>
    </row>
    <row r="44" spans="1:2" x14ac:dyDescent="0.25">
      <c r="B44">
        <v>3</v>
      </c>
    </row>
    <row r="45" spans="1:2" x14ac:dyDescent="0.25">
      <c r="B45">
        <v>4</v>
      </c>
    </row>
    <row r="46" spans="1:2" x14ac:dyDescent="0.25">
      <c r="B46">
        <v>11</v>
      </c>
    </row>
    <row r="47" spans="1:2" x14ac:dyDescent="0.25">
      <c r="B47">
        <v>5</v>
      </c>
    </row>
    <row r="48" spans="1:2" x14ac:dyDescent="0.25">
      <c r="A48" s="8" t="s">
        <v>23</v>
      </c>
      <c r="B48">
        <f t="array" ref="B48:B52">SORTED(A32:A36)</f>
        <v>3</v>
      </c>
    </row>
    <row r="49" spans="2:2" x14ac:dyDescent="0.25">
      <c r="B49">
        <v>3</v>
      </c>
    </row>
    <row r="50" spans="2:2" x14ac:dyDescent="0.25">
      <c r="B50">
        <v>4</v>
      </c>
    </row>
    <row r="51" spans="2:2" x14ac:dyDescent="0.25">
      <c r="B51">
        <v>5</v>
      </c>
    </row>
    <row r="52" spans="2:2" x14ac:dyDescent="0.25">
      <c r="B52">
        <v>11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>
    <row r="1" spans="1:1" x14ac:dyDescent="0.25">
      <c r="A1">
        <v>123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activeCell="D16" sqref="D16"/>
    </sheetView>
  </sheetViews>
  <sheetFormatPr defaultRowHeight="15" x14ac:dyDescent="0.25"/>
  <sheetData>
    <row r="1" spans="1:1" x14ac:dyDescent="0.25">
      <c r="A1">
        <v>246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2009-10-18T23:51:51Z</outs:dateTime>
      <outs:isPinned>true</outs:isPinned>
    </outs:relatedDate>
    <outs:relatedDate>
      <outs:type>2</outs:type>
      <outs:displayName>Created</outs:displayName>
      <outs:dateTime>1999-01-25T22:05:42Z</outs:dateTime>
      <outs:isPinned>true</outs:isPinned>
    </outs:relatedDate>
    <outs:relatedDate>
      <outs:type>4</outs:type>
      <outs:displayName>Last Printed</outs:displayName>
      <outs:dateTime>2006-08-24T19:27:14Z</outs:dateTime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42D30252-D72D-4C0B-98D9-98BDD584DF0D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worksheet functions.xlsm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cp:lastPrinted>2012-09-17T23:38:58Z</cp:lastPrinted>
  <dcterms:created xsi:type="dcterms:W3CDTF">1999-01-25T22:05:42Z</dcterms:created>
  <dcterms:modified xsi:type="dcterms:W3CDTF">2018-07-07T22:38:20Z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8fd80ed9-3d98-445f-b517-0be9fb98d837</vt:lpwstr>
  </property>
</Properties>
</file>